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iye-scm\"/>
    </mc:Choice>
  </mc:AlternateContent>
  <xr:revisionPtr revIDLastSave="0" documentId="13_ncr:1_{6482C65A-9778-4EF3-B607-B641E4B4DF7A}" xr6:coauthVersionLast="47" xr6:coauthVersionMax="47" xr10:uidLastSave="{00000000-0000-0000-0000-000000000000}"/>
  <bookViews>
    <workbookView xWindow="0" yWindow="0" windowWidth="23040" windowHeight="12240" tabRatio="500" xr2:uid="{00000000-000D-0000-FFFF-FFFF00000000}"/>
  </bookViews>
  <sheets>
    <sheet name="3_Vendor_Evaluation" sheetId="1" r:id="rId1"/>
    <sheet name="5_Demand_Forecasting" sheetId="2" r:id="rId2"/>
    <sheet name="7_Risk_Assessment" sheetId="3" r:id="rId3"/>
    <sheet name="15_Cost_to_Serve" sheetId="4" r:id="rId4"/>
    <sheet name="28_20_Fulfillment_Portal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2" l="1"/>
  <c r="G17" i="5"/>
  <c r="F17" i="5"/>
  <c r="K9" i="5"/>
  <c r="K8" i="5"/>
  <c r="K7" i="5"/>
  <c r="K6" i="5"/>
  <c r="G22" i="4"/>
  <c r="E22" i="4"/>
  <c r="D22" i="4"/>
  <c r="G21" i="4"/>
  <c r="D21" i="4"/>
  <c r="E21" i="4" s="1"/>
  <c r="G20" i="4"/>
  <c r="D20" i="4"/>
  <c r="E20" i="4" s="1"/>
  <c r="G19" i="4"/>
  <c r="D19" i="4"/>
  <c r="E19" i="4" s="1"/>
  <c r="G18" i="4"/>
  <c r="E18" i="4"/>
  <c r="D18" i="4"/>
  <c r="E14" i="4"/>
  <c r="D14" i="4"/>
  <c r="C14" i="4"/>
  <c r="B14" i="4"/>
  <c r="F13" i="4"/>
  <c r="F12" i="4"/>
  <c r="F11" i="4"/>
  <c r="F10" i="4"/>
  <c r="F9" i="4"/>
  <c r="F8" i="4"/>
  <c r="F7" i="4"/>
  <c r="F6" i="4"/>
  <c r="F17" i="3"/>
  <c r="F16" i="3"/>
  <c r="F15" i="3"/>
  <c r="F14" i="3"/>
  <c r="F13" i="3"/>
  <c r="F12" i="3"/>
  <c r="F11" i="3"/>
  <c r="F10" i="3"/>
  <c r="F9" i="3"/>
  <c r="F8" i="3"/>
  <c r="F7" i="3"/>
  <c r="F6" i="3"/>
  <c r="B25" i="2"/>
  <c r="B24" i="2"/>
  <c r="C18" i="2"/>
  <c r="B18" i="2"/>
  <c r="I17" i="2"/>
  <c r="F17" i="2"/>
  <c r="H17" i="2" s="1"/>
  <c r="D17" i="2"/>
  <c r="I16" i="2"/>
  <c r="F16" i="2"/>
  <c r="H16" i="2" s="1"/>
  <c r="D16" i="2"/>
  <c r="I15" i="2"/>
  <c r="H15" i="2"/>
  <c r="F15" i="2"/>
  <c r="J15" i="2" s="1"/>
  <c r="D15" i="2"/>
  <c r="I14" i="2"/>
  <c r="F14" i="2"/>
  <c r="H14" i="2" s="1"/>
  <c r="D14" i="2"/>
  <c r="J13" i="2"/>
  <c r="I13" i="2"/>
  <c r="H13" i="2"/>
  <c r="F13" i="2"/>
  <c r="G13" i="2" s="1"/>
  <c r="D13" i="2"/>
  <c r="I12" i="2"/>
  <c r="F12" i="2"/>
  <c r="H12" i="2" s="1"/>
  <c r="D12" i="2"/>
  <c r="I11" i="2"/>
  <c r="F11" i="2"/>
  <c r="J11" i="2" s="1"/>
  <c r="D11" i="2"/>
  <c r="I10" i="2"/>
  <c r="F10" i="2"/>
  <c r="H10" i="2" s="1"/>
  <c r="D10" i="2"/>
  <c r="I9" i="2"/>
  <c r="F9" i="2"/>
  <c r="H9" i="2" s="1"/>
  <c r="D9" i="2"/>
  <c r="I8" i="2"/>
  <c r="F8" i="2"/>
  <c r="H8" i="2" s="1"/>
  <c r="D8" i="2"/>
  <c r="I7" i="2"/>
  <c r="H7" i="2"/>
  <c r="F7" i="2"/>
  <c r="J7" i="2" s="1"/>
  <c r="I6" i="2"/>
  <c r="F6" i="2"/>
  <c r="H6" i="2" s="1"/>
  <c r="I24" i="1"/>
  <c r="K24" i="1" s="1"/>
  <c r="I23" i="1"/>
  <c r="J23" i="1" s="1"/>
  <c r="I22" i="1"/>
  <c r="K22" i="1" s="1"/>
  <c r="I21" i="1"/>
  <c r="K21" i="1" s="1"/>
  <c r="I20" i="1"/>
  <c r="K20" i="1" s="1"/>
  <c r="K19" i="1"/>
  <c r="I19" i="1"/>
  <c r="J19" i="1" s="1"/>
  <c r="I18" i="1"/>
  <c r="K18" i="1" s="1"/>
  <c r="I17" i="1"/>
  <c r="K17" i="1" s="1"/>
  <c r="B12" i="1"/>
  <c r="E11" i="1"/>
  <c r="E10" i="1"/>
  <c r="E9" i="1"/>
  <c r="E8" i="1"/>
  <c r="E7" i="1"/>
  <c r="E6" i="1"/>
  <c r="E12" i="1" s="1"/>
  <c r="J18" i="1" l="1"/>
  <c r="J21" i="1"/>
  <c r="J22" i="1"/>
  <c r="J17" i="1"/>
  <c r="K23" i="1"/>
  <c r="G6" i="2"/>
  <c r="G7" i="2"/>
  <c r="J9" i="2"/>
  <c r="G15" i="2"/>
  <c r="J17" i="2"/>
  <c r="F18" i="2"/>
  <c r="G11" i="2"/>
  <c r="H11" i="2"/>
  <c r="H18" i="2" s="1"/>
  <c r="B26" i="2"/>
  <c r="G9" i="2"/>
  <c r="G17" i="2"/>
  <c r="J6" i="2"/>
  <c r="G6" i="4"/>
  <c r="G10" i="4"/>
  <c r="G11" i="4"/>
  <c r="J8" i="2"/>
  <c r="J10" i="2"/>
  <c r="J12" i="2"/>
  <c r="J14" i="2"/>
  <c r="J16" i="2"/>
  <c r="F14" i="4"/>
  <c r="J20" i="1"/>
  <c r="J24" i="1"/>
  <c r="G8" i="2"/>
  <c r="G10" i="2"/>
  <c r="G12" i="2"/>
  <c r="G14" i="2"/>
  <c r="G16" i="2"/>
  <c r="J18" i="2" l="1"/>
  <c r="G18" i="2"/>
  <c r="G8" i="4"/>
  <c r="G13" i="4"/>
  <c r="G7" i="4"/>
  <c r="G9" i="4"/>
  <c r="G12" i="4"/>
</calcChain>
</file>

<file path=xl/sharedStrings.xml><?xml version="1.0" encoding="utf-8"?>
<sst xmlns="http://schemas.openxmlformats.org/spreadsheetml/2006/main" count="402" uniqueCount="307">
  <si>
    <t>Weighted Scoring Model | Source: Assumed data based on Bangladesh wedding market benchmarks | 2026</t>
  </si>
  <si>
    <t>STEP 1: Scoring Criteria &amp; Weights</t>
  </si>
  <si>
    <t>Criterion</t>
  </si>
  <si>
    <t>Weight (%)</t>
  </si>
  <si>
    <t>Description</t>
  </si>
  <si>
    <t>Max Score</t>
  </si>
  <si>
    <t>Weighted Max</t>
  </si>
  <si>
    <t>Service Quality</t>
  </si>
  <si>
    <t>Portfolio quality, past event execution, customer testimonials</t>
  </si>
  <si>
    <t>Pricing &amp; Value</t>
  </si>
  <si>
    <t>Competitive pricing vs market average, value for money</t>
  </si>
  <si>
    <t>Reliability</t>
  </si>
  <si>
    <t>On-time delivery track record, commitment adherence</t>
  </si>
  <si>
    <t>Communication</t>
  </si>
  <si>
    <t>Response time, clarity, professionalism</t>
  </si>
  <si>
    <t>Availability</t>
  </si>
  <si>
    <t>Coverage of peak dates, flexibility, advance booking capacity</t>
  </si>
  <si>
    <t>Compliance &amp; Safety</t>
  </si>
  <si>
    <t>Legal registration, insurance, food safety (catering)</t>
  </si>
  <si>
    <t>TOTAL</t>
  </si>
  <si>
    <t>STEP 2: Vendor Scoring Matrix (Score 1–10 per criterion)</t>
  </si>
  <si>
    <t>Vendor Name</t>
  </si>
  <si>
    <t>Category</t>
  </si>
  <si>
    <t>Quality
(25%)</t>
  </si>
  <si>
    <t>Pricing
(20%)</t>
  </si>
  <si>
    <t>Reliability
(20%)</t>
  </si>
  <si>
    <t>Comm.
(15%)</t>
  </si>
  <si>
    <t>Avail.
(12%)</t>
  </si>
  <si>
    <t>Compliance
(8%)</t>
  </si>
  <si>
    <t>Weighted
Score</t>
  </si>
  <si>
    <t>Rank</t>
  </si>
  <si>
    <t>Status</t>
  </si>
  <si>
    <t>Dream Décor BD</t>
  </si>
  <si>
    <t>Vendor/Decoration</t>
  </si>
  <si>
    <t>Royal Frames Studio</t>
  </si>
  <si>
    <t>Photography</t>
  </si>
  <si>
    <t>Garden Palace Venue</t>
  </si>
  <si>
    <t>Venue</t>
  </si>
  <si>
    <t>Spice Route Catering</t>
  </si>
  <si>
    <t>Catering</t>
  </si>
  <si>
    <t>Elegance Events Co.</t>
  </si>
  <si>
    <t>Moments Photography</t>
  </si>
  <si>
    <t>Pearl Banquet Hall</t>
  </si>
  <si>
    <t>Flavors of Dhaka</t>
  </si>
  <si>
    <t>STEP 3: Category Champions</t>
  </si>
  <si>
    <t>Top Vendor</t>
  </si>
  <si>
    <t>Score</t>
  </si>
  <si>
    <t>Recommendation</t>
  </si>
  <si>
    <t>Recommended for venue bookings. Strong reliability and quality.</t>
  </si>
  <si>
    <t>Lead photographer partner. Excellent client communication.</t>
  </si>
  <si>
    <t>Top decorator. High service quality and compliance score.</t>
  </si>
  <si>
    <t>Primary caterer. Best pricing and availability scores.</t>
  </si>
  <si>
    <t>Seasonal demand model for Dhaka wedding market | Source: Bangladesh Bureau of Statistics, industry estimates, assumed 2025–2026 baseline</t>
  </si>
  <si>
    <t>HISTORICAL DEMAND DATA — 2025 (Assumed | Dhaka Metro Wedding Bookings)</t>
  </si>
  <si>
    <t>Month</t>
  </si>
  <si>
    <t>2025 Actual
Demand</t>
  </si>
  <si>
    <t>Seasonal
Index</t>
  </si>
  <si>
    <t>Moving Avg
(3-month)</t>
  </si>
  <si>
    <t>YoY Growth
Rate</t>
  </si>
  <si>
    <t>2026 Forecast</t>
  </si>
  <si>
    <t>Upper Bound
(+15%)</t>
  </si>
  <si>
    <t>Lower Bound
(-15%)</t>
  </si>
  <si>
    <t>Peak Flag</t>
  </si>
  <si>
    <t>Capacity
Required</t>
  </si>
  <si>
    <t>Jan</t>
  </si>
  <si>
    <t>-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</si>
  <si>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</si>
  <si>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</si>
  <si>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</si>
  <si>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</si>
  <si>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</si>
  <si>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</si>
  <si>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</si>
  <si>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</si>
  <si>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</si>
  <si>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</si>
  <si>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</si>
  <si>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</si>
  <si>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DEMAND FORECASTING KPIs</t>
  </si>
  <si>
    <t>KPI</t>
  </si>
  <si>
    <t>Value</t>
  </si>
  <si>
    <t>Benchmark</t>
  </si>
  <si>
    <t>Peak Season Demand (Oct–Jan)</t>
  </si>
  <si>
    <t>Peak season</t>
  </si>
  <si>
    <t>Off-Peak Demand (Jun–Aug)</t>
  </si>
  <si>
    <t>Plan promotions</t>
  </si>
  <si>
    <t>Peak/Off-Peak Ratio</t>
  </si>
  <si>
    <t>3.5x</t>
  </si>
  <si>
    <t>Seasonal skew</t>
  </si>
  <si>
    <t>Forecast Growth Rate</t>
  </si>
  <si>
    <t>10–15%</t>
  </si>
  <si>
    <t>On target</t>
  </si>
  <si>
    <t>Annual 2026 Forecast</t>
  </si>
  <si>
    <t>Achievable</t>
  </si>
  <si>
    <t>Probability-Impact Matrix | SAP-aligned risk framework | Dhaka Wedding Market 2026</t>
  </si>
  <si>
    <t>Risk ID</t>
  </si>
  <si>
    <t>Risk Category</t>
  </si>
  <si>
    <t>Risk Description</t>
  </si>
  <si>
    <t>Probability
(1–5)</t>
  </si>
  <si>
    <t>Impact
(1–5)</t>
  </si>
  <si>
    <t>Risk Score
(P×I)</t>
  </si>
  <si>
    <t>Risk Level</t>
  </si>
  <si>
    <t>Mitigation Strategy</t>
  </si>
  <si>
    <t>R-01</t>
  </si>
  <si>
    <t>Vendor Reliability</t>
  </si>
  <si>
    <t>Vendor no-show or cancellation on event day</t>
  </si>
  <si>
    <t>🔴 Critical</t>
  </si>
  <si>
    <t>Approved backup vendor list per category. SLA penalty clause.</t>
  </si>
  <si>
    <t>R-02</t>
  </si>
  <si>
    <t>Demand Volatility</t>
  </si>
  <si>
    <t>Sudden demand spike during peak season exceeding vendor capacity</t>
  </si>
  <si>
    <t>🟠 High</t>
  </si>
  <si>
    <t>Advance booking incentives. Capacity tracking dashboard.</t>
  </si>
  <si>
    <t>R-03</t>
  </si>
  <si>
    <t>Payment Default</t>
  </si>
  <si>
    <t>Customer fails to pay 80% balance on event day</t>
  </si>
  <si>
    <t>20% non-refundable advance. Written contract with penalty terms.</t>
  </si>
  <si>
    <t>R-04</t>
  </si>
  <si>
    <t>Platform Downtime</t>
  </si>
  <si>
    <t>WordPress/no-code platform failure during booking peak</t>
  </si>
  <si>
    <t>🟡 Medium</t>
  </si>
  <si>
    <t>Offline backup of all bookings. Manual confirmation fallback.</t>
  </si>
  <si>
    <t>R-05</t>
  </si>
  <si>
    <t>Pricing Disputes</t>
  </si>
  <si>
    <t>Customer disputes variable pricing after booking</t>
  </si>
  <si>
    <t>Written price confirmation required before advance payment.</t>
  </si>
  <si>
    <t>R-06</t>
  </si>
  <si>
    <t>Transport Delay</t>
  </si>
  <si>
    <t>Vendor transportation delay causing late arrival on event day</t>
  </si>
  <si>
    <t>Arrival time confirmed 48hrs prior. Transport route pre-planned.</t>
  </si>
  <si>
    <t>R-07</t>
  </si>
  <si>
    <t>Competitor Entry</t>
  </si>
  <si>
    <t>New platform enters Dhaka wedding market with lower pricing</t>
  </si>
  <si>
    <t>Build vendor exclusivity deals. Focus on service quality differentiation.</t>
  </si>
  <si>
    <t>R-08</t>
  </si>
  <si>
    <t>Partner Quality Drop</t>
  </si>
  <si>
    <t>Existing partner reduces service quality post-onboarding</t>
  </si>
  <si>
    <t>Quarterly performance reviews. Customer ratings system.</t>
  </si>
  <si>
    <t>R-09</t>
  </si>
  <si>
    <t>Regulatory Change</t>
  </si>
  <si>
    <t>Government regulation affecting event gatherings (e.g., post-COVID)</t>
  </si>
  <si>
    <t>Monitor regulatory updates. Flexible cancellation policy.</t>
  </si>
  <si>
    <t>R-10</t>
  </si>
  <si>
    <t>Currency Fluctuation</t>
  </si>
  <si>
    <t>Input cost increases for vendors due to import price rise (decoration)</t>
  </si>
  <si>
    <t>🟢 Low</t>
  </si>
  <si>
    <t>Annual pricing revision clause in vendor agreements.</t>
  </si>
  <si>
    <t>R-11</t>
  </si>
  <si>
    <t>Data Breach</t>
  </si>
  <si>
    <t>Customer personal/payment data compromised on platform</t>
  </si>
  <si>
    <t>SSL, secure payment gateway, no local storage of card data.</t>
  </si>
  <si>
    <t>R-12</t>
  </si>
  <si>
    <t>Negative Review Spread</t>
  </si>
  <si>
    <t>Viral negative review damaging platform reputation</t>
  </si>
  <si>
    <t>Fast complaint response protocol. Post-event satisfaction survey.</t>
  </si>
  <si>
    <t>Risk Summary</t>
  </si>
  <si>
    <t>Critical (≥15): 2</t>
  </si>
  <si>
    <t>High (9-14): 3</t>
  </si>
  <si>
    <t>Medium (4-8): 6</t>
  </si>
  <si>
    <t>Low (&lt;4): 1</t>
  </si>
  <si>
    <t>PROBABILITY–IMPACT HEAT MAP (Risk Score = P × I)</t>
  </si>
  <si>
    <t>Probability ↕ / Impact →</t>
  </si>
  <si>
    <t>Impact 1</t>
  </si>
  <si>
    <t>Impact 2</t>
  </si>
  <si>
    <t>Impact 3</t>
  </si>
  <si>
    <t>Impact 4</t>
  </si>
  <si>
    <t>Impact 5</t>
  </si>
  <si>
    <t>Prob 5</t>
  </si>
  <si>
    <t>Prob 4</t>
  </si>
  <si>
    <t>Prob 3</t>
  </si>
  <si>
    <t>Prob 2</t>
  </si>
  <si>
    <t>Prob 1</t>
  </si>
  <si>
    <t>Per-booking cost breakdown by service category | BDT figures assumed from Dhaka market rates | 2026</t>
  </si>
  <si>
    <t>Cost Category</t>
  </si>
  <si>
    <t>Venue
Booking</t>
  </si>
  <si>
    <t>Vendor/
Decoration</t>
  </si>
  <si>
    <t>Catering
(per 100 pax)</t>
  </si>
  <si>
    <t>Total
(Full Package)</t>
  </si>
  <si>
    <t>% of Total</t>
  </si>
  <si>
    <t>Notes</t>
  </si>
  <si>
    <t>Platform Commission (10%)</t>
  </si>
  <si>
    <t>Biyepati revenue per booking</t>
  </si>
  <si>
    <t>Vendor Payout (direct cost)</t>
  </si>
  <si>
    <t>Payment to service partner</t>
  </si>
  <si>
    <t>Transaction/Payment Fees</t>
  </si>
  <si>
    <t>Payment gateway ~1.5%</t>
  </si>
  <si>
    <t>Customer Acquisition Cost</t>
  </si>
  <si>
    <t>Avg digital marketing cost per booking</t>
  </si>
  <si>
    <t>Coordination Labour</t>
  </si>
  <si>
    <t>Estimated founder time cost per booking</t>
  </si>
  <si>
    <t>Platform Maintenance (apport.)</t>
  </si>
  <si>
    <t>Monthly WordPress cost apportioned</t>
  </si>
  <si>
    <t>Communication &amp; Follow-up</t>
  </si>
  <si>
    <t>SMS, email, call costs</t>
  </si>
  <si>
    <t>Contingency Buffer (3%)</t>
  </si>
  <si>
    <t>3% of vendor payout as buffer</t>
  </si>
  <si>
    <t>TOTAL COST PER BOOKING (BDT)</t>
  </si>
  <si>
    <t>100%</t>
  </si>
  <si>
    <t>PRICING &amp; PROFITABILITY ANALYSIS</t>
  </si>
  <si>
    <t>Service Package</t>
  </si>
  <si>
    <t>Avg Price
Charged (BDT)</t>
  </si>
  <si>
    <t>Total Cost
(BDT)</t>
  </si>
  <si>
    <t>Gross Profit
(BDT)</t>
  </si>
  <si>
    <t>Gross Margin
(%)</t>
  </si>
  <si>
    <t>Break-even
Bookings/Month</t>
  </si>
  <si>
    <t>Revenue @
10 bookings</t>
  </si>
  <si>
    <t>Venue Booking</t>
  </si>
  <si>
    <t>Catering (100 pax)</t>
  </si>
  <si>
    <t>Full Wedding Package</t>
  </si>
  <si>
    <t>End-to-end booking pipeline tracker | Assumed data for 12-month projection | 2026</t>
  </si>
  <si>
    <t>Booking ID</t>
  </si>
  <si>
    <t>Customer</t>
  </si>
  <si>
    <t>Service</t>
  </si>
  <si>
    <t>Vendor Assigned</t>
  </si>
  <si>
    <t>Event Date</t>
  </si>
  <si>
    <t>Advance Paid
(BDT)</t>
  </si>
  <si>
    <t>Balance Due
(BDT)</t>
  </si>
  <si>
    <t>Pre-Event
Status</t>
  </si>
  <si>
    <t>Event Day
Status</t>
  </si>
  <si>
    <t>Customer
Rating</t>
  </si>
  <si>
    <t>Fulfillment
Score</t>
  </si>
  <si>
    <t>BP-001</t>
  </si>
  <si>
    <t>Rahman Family</t>
  </si>
  <si>
    <t>Full Package</t>
  </si>
  <si>
    <t>Dream Décor + Royal Frames</t>
  </si>
  <si>
    <t>2026-01-15</t>
  </si>
  <si>
    <t>✔ Complete</t>
  </si>
  <si>
    <t>✔ Delivered</t>
  </si>
  <si>
    <t>Excellent coordination</t>
  </si>
  <si>
    <t>BP-002</t>
  </si>
  <si>
    <t>Sultana Wedding</t>
  </si>
  <si>
    <t>2026-01-22</t>
  </si>
  <si>
    <t>BP-003</t>
  </si>
  <si>
    <t>Chowdhury Event</t>
  </si>
  <si>
    <t>2026-02-08</t>
  </si>
  <si>
    <t>Slight delay in setup</t>
  </si>
  <si>
    <t>BP-004</t>
  </si>
  <si>
    <t>Hasan Ceremony</t>
  </si>
  <si>
    <t>2026-02-14</t>
  </si>
  <si>
    <t>Outstanding food quality</t>
  </si>
  <si>
    <t>BP-005</t>
  </si>
  <si>
    <t>Islam Wedding</t>
  </si>
  <si>
    <t>Dream Décor + Flavors</t>
  </si>
  <si>
    <t>2026-04-05</t>
  </si>
  <si>
    <t>🔄 In Progress</t>
  </si>
  <si>
    <t>⏳ Upcoming</t>
  </si>
  <si>
    <t>N/A</t>
  </si>
  <si>
    <t>BP-006</t>
  </si>
  <si>
    <t>Begum Family</t>
  </si>
  <si>
    <t>Vendor/Decor</t>
  </si>
  <si>
    <t>2026-04-19</t>
  </si>
  <si>
    <t>Custom design approved</t>
  </si>
  <si>
    <t>BP-007</t>
  </si>
  <si>
    <t>Ahmed Event</t>
  </si>
  <si>
    <t>2026-05-03</t>
  </si>
  <si>
    <t>📋 Planned</t>
  </si>
  <si>
    <t>Shot list pending</t>
  </si>
  <si>
    <t>BP-008</t>
  </si>
  <si>
    <t>Karim Wedding</t>
  </si>
  <si>
    <t>Pearl Banquet + Spice Route</t>
  </si>
  <si>
    <t>2026-11-12</t>
  </si>
  <si>
    <t>Peak season booking</t>
  </si>
  <si>
    <t>BP-009</t>
  </si>
  <si>
    <t>Zaman Ceremony</t>
  </si>
  <si>
    <t>2026-11-20</t>
  </si>
  <si>
    <t>BP-010</t>
  </si>
  <si>
    <t>Akter Wedding</t>
  </si>
  <si>
    <t>All Partners</t>
  </si>
  <si>
    <t>2026-12-05</t>
  </si>
  <si>
    <t>EMI plan selected</t>
  </si>
  <si>
    <t>FULFILLMENT KPIs</t>
  </si>
  <si>
    <t>Total Bookings: 10</t>
  </si>
  <si>
    <t>Delivered: 4</t>
  </si>
  <si>
    <t>In Progress: 3</t>
  </si>
  <si>
    <t>Planned: 3</t>
  </si>
  <si>
    <t>Avg Rating: 4.6</t>
  </si>
  <si>
    <t>Partner Name</t>
  </si>
  <si>
    <t>Onboard
Status</t>
  </si>
  <si>
    <t>Active
Bookings</t>
  </si>
  <si>
    <t>Avg Rating</t>
  </si>
  <si>
    <t>Last Contact</t>
  </si>
  <si>
    <t>SLA Signed</t>
  </si>
  <si>
    <t>Docs
Submitted</t>
  </si>
  <si>
    <t>Portal
Access</t>
  </si>
  <si>
    <t>Action Required</t>
  </si>
  <si>
    <t>✔ Active</t>
  </si>
  <si>
    <t>2026-05-01</t>
  </si>
  <si>
    <t>✔ Yes</t>
  </si>
  <si>
    <t>None</t>
  </si>
  <si>
    <t>2026-04-28</t>
  </si>
  <si>
    <t>2026-04-20</t>
  </si>
  <si>
    <t>Follow up on next available dates</t>
  </si>
  <si>
    <t>2026-05-02</t>
  </si>
  <si>
    <t>⚠ Review</t>
  </si>
  <si>
    <t>2026-04-10</t>
  </si>
  <si>
    <t>⚠ Pending</t>
  </si>
  <si>
    <t>⚠ Limited</t>
  </si>
  <si>
    <t>Request missing compliance docs</t>
  </si>
  <si>
    <t>BIYEPATI - Wedding Demand Forecasting Dashboard (Module #6)</t>
  </si>
  <si>
    <t>BIYEPATI - Supply Chain Risk Assessment Model (Module #4)</t>
  </si>
  <si>
    <t>RISK REGISTER - BIYEPATI SUPPLY CHAIN</t>
  </si>
  <si>
    <t>BIYEPATI - Cost-to-Serve Model (Module #5)</t>
  </si>
  <si>
    <t>COST STRUCTURE PER BOOKING EVENT (in BDT - Bangladeshi Taka)</t>
  </si>
  <si>
    <t>BIYEPATI - Order Fulfillment &amp; Supplier Portal Tracker (Module #1 + #4)</t>
  </si>
  <si>
    <t>ORDER FULFILLMENT PIPELINE - SIMULATED 2026 BOOKINGS</t>
  </si>
  <si>
    <t>SUPPLIER COLLABORATION PORTAL - PARTNER STATUS (Module #4)</t>
  </si>
  <si>
    <t>BIYEPATI - Vendor Evaluation &amp; Ranking System (Module #3)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</si>
</sst>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1B4F8A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b/>
      <sz val="11"/>
      <color rgb="FF595959"/>
      <name val="Arial"/>
      <charset val="1"/>
    </font>
    <font>
      <b/>
      <sz val="11"/>
      <color rgb="FF1E8449"/>
      <name val="Arial"/>
      <charset val="1"/>
    </font>
    <font>
      <b/>
      <sz val="11"/>
      <color theme="4"/>
      <name val="Arial"/>
      <family val="2"/>
    </font>
    <font>
      <sz val="11"/>
      <color theme="4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B4F8A"/>
        <bgColor rgb="FF003366"/>
      </patternFill>
    </fill>
    <fill>
      <patternFill patternType="solid">
        <fgColor rgb="FFD6E4F7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EF9E7"/>
        <bgColor rgb="FFF9F9F9"/>
      </patternFill>
    </fill>
    <fill>
      <patternFill patternType="solid">
        <fgColor rgb="FFD5F5E3"/>
        <bgColor rgb="FFD6E4F7"/>
      </patternFill>
    </fill>
    <fill>
      <patternFill patternType="solid">
        <fgColor rgb="FFFADBD8"/>
        <bgColor rgb="FFD9D9D9"/>
      </patternFill>
    </fill>
    <fill>
      <patternFill patternType="solid">
        <fgColor rgb="FFC0392B"/>
        <bgColor rgb="FFBE4B48"/>
      </patternFill>
    </fill>
    <fill>
      <patternFill patternType="solid">
        <fgColor rgb="FF1E8449"/>
        <bgColor rgb="FF008080"/>
      </patternFill>
    </fill>
  </fills>
  <borders count="3">
    <border>
      <left/>
      <right/>
      <top/>
      <bottom/>
      <diagonal/>
    </border>
    <border>
      <left style="thin">
        <color rgb="FF1B4F8A"/>
      </left>
      <right/>
      <top style="thin">
        <color rgb="FF1B4F8A"/>
      </top>
      <bottom style="thin">
        <color rgb="FF1B4F8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9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9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9" fontId="4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2" fontId="3" fillId="4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2" fontId="3" fillId="5" borderId="2" xfId="0" applyNumberFormat="1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2" fontId="5" fillId="6" borderId="2" xfId="0" applyNumberFormat="1" applyFont="1" applyFill="1" applyBorder="1" applyAlignment="1">
      <alignment horizontal="center" vertical="center"/>
    </xf>
    <xf numFmtId="9" fontId="5" fillId="6" borderId="2" xfId="0" applyNumberFormat="1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2" fontId="5" fillId="7" borderId="2" xfId="0" applyNumberFormat="1" applyFont="1" applyFill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1" fontId="3" fillId="7" borderId="2" xfId="0" applyNumberFormat="1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2" fontId="5" fillId="8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9" fontId="5" fillId="8" borderId="2" xfId="0" applyNumberFormat="1" applyFont="1" applyFill="1" applyBorder="1" applyAlignment="1">
      <alignment horizontal="center" vertical="center"/>
    </xf>
    <xf numFmtId="1" fontId="3" fillId="8" borderId="2" xfId="0" applyNumberFormat="1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2" fontId="4" fillId="2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165" fontId="9" fillId="7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3" fontId="9" fillId="7" borderId="2" xfId="0" applyNumberFormat="1" applyFont="1" applyFill="1" applyBorder="1" applyAlignment="1">
      <alignment horizontal="center" vertical="center"/>
    </xf>
    <xf numFmtId="3" fontId="9" fillId="5" borderId="2" xfId="0" applyNumberFormat="1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0" borderId="0" xfId="0" applyFont="1"/>
    <xf numFmtId="0" fontId="4" fillId="9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CCCCC"/>
      <rgbColor rgb="FF878787"/>
      <rgbColor rgb="FF9999FF"/>
      <rgbColor rgb="FFBE4B48"/>
      <rgbColor rgb="FFFEF9E7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9F9F9"/>
      <rgbColor rgb="FF99CCFF"/>
      <rgbColor rgb="FFFF99CC"/>
      <rgbColor rgb="FFCC99FF"/>
      <rgbColor rgb="FFFADBD8"/>
      <rgbColor rgb="FF4A7EBB"/>
      <rgbColor rgb="FF33CCCC"/>
      <rgbColor rgb="FF98B855"/>
      <rgbColor rgb="FFFFCC00"/>
      <rgbColor rgb="FFFF9900"/>
      <rgbColor rgb="FFFF6600"/>
      <rgbColor rgb="FF7D5FA0"/>
      <rgbColor rgb="FF9BBB59"/>
      <rgbColor rgb="FF003366"/>
      <rgbColor rgb="FF1E8449"/>
      <rgbColor rgb="FF003300"/>
      <rgbColor rgb="FF333300"/>
      <rgbColor rgb="FFC0392B"/>
      <rgbColor rgb="FFC0504D"/>
      <rgbColor rgb="FF1B4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Vendor Weighted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'3_Vendor_Evaluation'!$I$16</c:f>
              <c:strCache>
                <c:ptCount val="1"/>
                <c:pt idx="0">
                  <c:v>Weighted
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'3_Vendor_Evaluation'!$A$17:$A$24</c:f>
              <c:strCache>
                <c:ptCount val="8"/>
                <c:pt idx="0">
                  <c:v>Dream Décor BD</c:v>
                </c:pt>
                <c:pt idx="1">
                  <c:v>Royal Frames Studio</c:v>
                </c:pt>
                <c:pt idx="2">
                  <c:v>Garden Palace Venue</c:v>
                </c:pt>
                <c:pt idx="3">
                  <c:v>Spice Route Catering</c:v>
                </c:pt>
                <c:pt idx="4">
                  <c:v>Elegance Events Co.</c:v>
                </c:pt>
                <c:pt idx="5">
                  <c:v>Moments Photography</c:v>
                </c:pt>
                <c:pt idx="6">
                  <c:v>Pearl Banquet Hall</c:v>
                </c:pt>
                <c:pt idx="7">
                  <c:v>Flavors of Dhaka</c:v>
                </c:pt>
              </c:strCache>
            </c:strRef>
          </c:cat>
          <c:val>
            <c:numRef>
              <c:f>'3_Vendor_Evaluation'!$I$17:$I$24</c:f>
              <c:numCache>
                <c:formatCode>0.00</c:formatCode>
                <c:ptCount val="8"/>
                <c:pt idx="0">
                  <c:v>7.96</c:v>
                </c:pt>
                <c:pt idx="1">
                  <c:v>7.92</c:v>
                </c:pt>
                <c:pt idx="2">
                  <c:v>7.3599999999999994</c:v>
                </c:pt>
                <c:pt idx="3">
                  <c:v>8.2000000000000011</c:v>
                </c:pt>
                <c:pt idx="4">
                  <c:v>6.870000000000001</c:v>
                </c:pt>
                <c:pt idx="5">
                  <c:v>7.27</c:v>
                </c:pt>
                <c:pt idx="6">
                  <c:v>7.7299999999999995</c:v>
                </c:pt>
                <c:pt idx="7">
                  <c:v>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3-4B9D-8935-138CE701A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89430"/>
        <c:axId val="36060516"/>
      </c:barChart>
      <c:catAx>
        <c:axId val="9728943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Vendor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060516"/>
        <c:crosses val="autoZero"/>
        <c:auto val="1"/>
        <c:lblAlgn val="ctr"/>
        <c:lblOffset val="100"/>
        <c:noMultiLvlLbl val="0"/>
      </c:catAx>
      <c:valAx>
        <c:axId val="360605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 (0–10)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894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2025 Actual vs 2026 Forecast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'5_Demand_Forecasting'!$B$5</c:f>
              <c:strCache>
                <c:ptCount val="1"/>
                <c:pt idx="0">
                  <c:v>2025 Actual
Demand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'5_Demand_Forecasting'!$A$6:$A$17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'5_Demand_Forecasting'!$B$6:$B$17</c:f>
              <c:numCache>
                <c:formatCode>General</c:formatCode>
                <c:ptCount val="12"/>
                <c:pt idx="0">
                  <c:v>85</c:v>
                </c:pt>
                <c:pt idx="1">
                  <c:v>110</c:v>
                </c:pt>
                <c:pt idx="2">
                  <c:v>70</c:v>
                </c:pt>
                <c:pt idx="3">
                  <c:v>95</c:v>
                </c:pt>
                <c:pt idx="4">
                  <c:v>120</c:v>
                </c:pt>
                <c:pt idx="5">
                  <c:v>45</c:v>
                </c:pt>
                <c:pt idx="6">
                  <c:v>30</c:v>
                </c:pt>
                <c:pt idx="7">
                  <c:v>35</c:v>
                </c:pt>
                <c:pt idx="8">
                  <c:v>50</c:v>
                </c:pt>
                <c:pt idx="9">
                  <c:v>75</c:v>
                </c:pt>
                <c:pt idx="10">
                  <c:v>140</c:v>
                </c:pt>
                <c:pt idx="11">
                  <c:v>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98-4059-ACAE-6DA190258D06}"/>
            </c:ext>
          </c:extLst>
        </c:ser>
        <c:ser>
          <c:idx val="1"/>
          <c:order val="1"/>
          <c:tx>
            <c:strRef>
              <c:f>'5_Demand_Forecasting'!$F$5</c:f>
              <c:strCache>
                <c:ptCount val="1"/>
                <c:pt idx="0">
                  <c:v>2026 Forecast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'5_Demand_Forecasting'!$A$6:$A$17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'5_Demand_Forecasting'!$F$6:$F$17</c:f>
              <c:numCache>
                <c:formatCode>0</c:formatCode>
                <c:ptCount val="12"/>
                <c:pt idx="0">
                  <c:v>95.2</c:v>
                </c:pt>
                <c:pt idx="1">
                  <c:v>123.20000000000002</c:v>
                </c:pt>
                <c:pt idx="2">
                  <c:v>78.400000000000006</c:v>
                </c:pt>
                <c:pt idx="3">
                  <c:v>106.4</c:v>
                </c:pt>
                <c:pt idx="4">
                  <c:v>134.4</c:v>
                </c:pt>
                <c:pt idx="5">
                  <c:v>50.400000000000006</c:v>
                </c:pt>
                <c:pt idx="6">
                  <c:v>33.6</c:v>
                </c:pt>
                <c:pt idx="7">
                  <c:v>39.200000000000003</c:v>
                </c:pt>
                <c:pt idx="8">
                  <c:v>56.000000000000007</c:v>
                </c:pt>
                <c:pt idx="9">
                  <c:v>84.000000000000014</c:v>
                </c:pt>
                <c:pt idx="10">
                  <c:v>156.80000000000001</c:v>
                </c:pt>
                <c:pt idx="11">
                  <c:v>173.60000000000002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98-4059-ACAE-6DA190258D06}"/>
            </c:ext>
          </c:extLst>
        </c:ser>
        <c:ser>
          <c:idx val="2"/>
          <c:order val="2"/>
          <c:tx>
            <c:strRef>
              <c:f>'5_Demand_Forecasting'!$G$5</c:f>
              <c:strCache>
                <c:ptCount val="1"/>
                <c:pt idx="0">
                  <c:v>Upper Bound
(+15%)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'5_Demand_Forecasting'!$A$6:$A$17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'5_Demand_Forecasting'!$G$6:$G$17</c:f>
              <c:numCache>
                <c:formatCode>0</c:formatCode>
                <c:ptCount val="12"/>
                <c:pt idx="0">
                  <c:v>109.47999999999999</c:v>
                </c:pt>
                <c:pt idx="1">
                  <c:v>141.68</c:v>
                </c:pt>
                <c:pt idx="2">
                  <c:v>90.16</c:v>
                </c:pt>
                <c:pt idx="3">
                  <c:v>122.36</c:v>
                </c:pt>
                <c:pt idx="4">
                  <c:v>154.56</c:v>
                </c:pt>
                <c:pt idx="5">
                  <c:v>57.96</c:v>
                </c:pt>
                <c:pt idx="6">
                  <c:v>38.64</c:v>
                </c:pt>
                <c:pt idx="7">
                  <c:v>45.08</c:v>
                </c:pt>
                <c:pt idx="8">
                  <c:v>64.400000000000006</c:v>
                </c:pt>
                <c:pt idx="9">
                  <c:v>96.600000000000009</c:v>
                </c:pt>
                <c:pt idx="10">
                  <c:v>180.32</c:v>
                </c:pt>
                <c:pt idx="11">
                  <c:v>199.64000000000001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98-4059-ACAE-6DA190258D06}"/>
            </c:ext>
          </c:extLst>
        </c:ser>
        <c:ser>
          <c:idx val="3"/>
          <c:order val="3"/>
          <c:tx>
            <c:strRef>
              <c:f>'5_Demand_Forecasting'!$H$5</c:f>
              <c:strCache>
                <c:ptCount val="1"/>
                <c:pt idx="0">
                  <c:v>Lower Bound
(-15%)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'5_Demand_Forecasting'!$A$6:$A$17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'5_Demand_Forecasting'!$H$6:$H$17</c:f>
              <c:numCache>
                <c:formatCode>0</c:formatCode>
                <c:ptCount val="12"/>
                <c:pt idx="0">
                  <c:v>80.92</c:v>
                </c:pt>
                <c:pt idx="1">
                  <c:v>104.72000000000001</c:v>
                </c:pt>
                <c:pt idx="2">
                  <c:v>66.64</c:v>
                </c:pt>
                <c:pt idx="3">
                  <c:v>90.44</c:v>
                </c:pt>
                <c:pt idx="4">
                  <c:v>114.24</c:v>
                </c:pt>
                <c:pt idx="5">
                  <c:v>42.84</c:v>
                </c:pt>
                <c:pt idx="6">
                  <c:v>28.56</c:v>
                </c:pt>
                <c:pt idx="7">
                  <c:v>33.32</c:v>
                </c:pt>
                <c:pt idx="8">
                  <c:v>47.6</c:v>
                </c:pt>
                <c:pt idx="9">
                  <c:v>71.400000000000006</c:v>
                </c:pt>
                <c:pt idx="10">
                  <c:v>133.28</c:v>
                </c:pt>
                <c:pt idx="11">
                  <c:v>147.56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898-4059-ACAE-6DA190258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599111"/>
        <c:axId val="252889"/>
      </c:lineChart>
      <c:catAx>
        <c:axId val="41599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889"/>
        <c:crosses val="autoZero"/>
        <c:auto val="1"/>
        <c:lblAlgn val="ctr"/>
        <c:lblOffset val="100"/>
        <c:noMultiLvlLbl val="0"/>
      </c:catAx>
      <c:valAx>
        <c:axId val="252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99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Cost vs Price by Service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'15_Cost_to_Serve'!$B$17</c:f>
              <c:strCache>
                <c:ptCount val="1"/>
                <c:pt idx="0">
                  <c:v>Avg Price
Charged (BDT)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'15_Cost_to_Serve'!$A$18:$A$22</c:f>
              <c:strCache>
                <c:ptCount val="5"/>
                <c:pt idx="0">
                  <c:v>Venue Booking</c:v>
                </c:pt>
                <c:pt idx="1">
                  <c:v>Vendor/Decoration</c:v>
                </c:pt>
                <c:pt idx="2">
                  <c:v>Photography</c:v>
                </c:pt>
                <c:pt idx="3">
                  <c:v>Catering (100 pax)</c:v>
                </c:pt>
                <c:pt idx="4">
                  <c:v>Full Wedding Package</c:v>
                </c:pt>
              </c:strCache>
            </c:strRef>
          </c:cat>
          <c:val>
            <c:numRef>
              <c:f>'15_Cost_to_Serve'!$B$18:$B$22</c:f>
              <c:numCache>
                <c:formatCode>#,##0</c:formatCode>
                <c:ptCount val="5"/>
                <c:pt idx="0">
                  <c:v>55000</c:v>
                </c:pt>
                <c:pt idx="1">
                  <c:v>90000</c:v>
                </c:pt>
                <c:pt idx="2">
                  <c:v>45000</c:v>
                </c:pt>
                <c:pt idx="3">
                  <c:v>70000</c:v>
                </c:pt>
                <c:pt idx="4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E-4268-BE1B-D8091393315E}"/>
            </c:ext>
          </c:extLst>
        </c:ser>
        <c:ser>
          <c:idx val="1"/>
          <c:order val="1"/>
          <c:tx>
            <c:strRef>
              <c:f>'15_Cost_to_Serve'!$C$17</c:f>
              <c:strCache>
                <c:ptCount val="1"/>
                <c:pt idx="0">
                  <c:v>Total Cost
(BDT)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'15_Cost_to_Serve'!$A$18:$A$22</c:f>
              <c:strCache>
                <c:ptCount val="5"/>
                <c:pt idx="0">
                  <c:v>Venue Booking</c:v>
                </c:pt>
                <c:pt idx="1">
                  <c:v>Vendor/Decoration</c:v>
                </c:pt>
                <c:pt idx="2">
                  <c:v>Photography</c:v>
                </c:pt>
                <c:pt idx="3">
                  <c:v>Catering (100 pax)</c:v>
                </c:pt>
                <c:pt idx="4">
                  <c:v>Full Wedding Package</c:v>
                </c:pt>
              </c:strCache>
            </c:strRef>
          </c:cat>
          <c:val>
            <c:numRef>
              <c:f>'15_Cost_to_Serve'!$C$18:$C$22</c:f>
              <c:numCache>
                <c:formatCode>#,##0</c:formatCode>
                <c:ptCount val="5"/>
                <c:pt idx="0">
                  <c:v>56675</c:v>
                </c:pt>
                <c:pt idx="1">
                  <c:v>82520</c:v>
                </c:pt>
                <c:pt idx="2">
                  <c:v>39160</c:v>
                </c:pt>
                <c:pt idx="3">
                  <c:v>67096</c:v>
                </c:pt>
                <c:pt idx="4">
                  <c:v>245451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E-4268-BE1B-D8091393315E}"/>
            </c:ext>
          </c:extLst>
        </c:ser>
        <c:ser>
          <c:idx val="2"/>
          <c:order val="2"/>
          <c:tx>
            <c:strRef>
              <c:f>'15_Cost_to_Serve'!$D$17</c:f>
              <c:strCache>
                <c:ptCount val="1"/>
                <c:pt idx="0">
                  <c:v>Gross Profit
(BDT)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'15_Cost_to_Serve'!$A$18:$A$22</c:f>
              <c:strCache>
                <c:ptCount val="5"/>
                <c:pt idx="0">
                  <c:v>Venue Booking</c:v>
                </c:pt>
                <c:pt idx="1">
                  <c:v>Vendor/Decoration</c:v>
                </c:pt>
                <c:pt idx="2">
                  <c:v>Photography</c:v>
                </c:pt>
                <c:pt idx="3">
                  <c:v>Catering (100 pax)</c:v>
                </c:pt>
                <c:pt idx="4">
                  <c:v>Full Wedding Package</c:v>
                </c:pt>
              </c:strCache>
            </c:strRef>
          </c:cat>
          <c:val>
            <c:numRef>
              <c:f>'15_Cost_to_Serve'!$D$18:$D$22</c:f>
              <c:numCache>
                <c:formatCode>#,##0</c:formatCode>
                <c:ptCount val="5"/>
                <c:pt idx="0">
                  <c:v>-1675</c:v>
                </c:pt>
                <c:pt idx="1">
                  <c:v>7480</c:v>
                </c:pt>
                <c:pt idx="2">
                  <c:v>5840</c:v>
                </c:pt>
                <c:pt idx="3">
                  <c:v>2904</c:v>
                </c:pt>
                <c:pt idx="4">
                  <c:v>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1E-4268-BE1B-D80913933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24195"/>
        <c:axId val="24080149"/>
      </c:barChart>
      <c:catAx>
        <c:axId val="255241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80149"/>
        <c:crosses val="autoZero"/>
        <c:auto val="1"/>
        <c:lblAlgn val="ctr"/>
        <c:lblOffset val="100"/>
        <c:noMultiLvlLbl val="0"/>
      </c:catAx>
      <c:valAx>
        <c:axId val="24080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BDT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241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36</xdr:row>
      <xdr:rowOff>144780</xdr:rowOff>
    </xdr:from>
    <xdr:to>
      <xdr:col>6</xdr:col>
      <xdr:colOff>807720</xdr:colOff>
      <xdr:row>57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1188720</xdr:colOff>
      <xdr:row>31</xdr:row>
      <xdr:rowOff>53340</xdr:rowOff>
    </xdr:from>
    <xdr:to>
      <xdr:col>8</xdr:col>
      <xdr:colOff>7620</xdr:colOff>
      <xdr:row>54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822960</xdr:colOff>
      <xdr:row>25</xdr:row>
      <xdr:rowOff>91440</xdr:rowOff>
    </xdr:from>
    <xdr:to>
      <xdr:col>7</xdr:col>
      <xdr:colOff>53340</xdr:colOff>
      <xdr:row>47</xdr:row>
      <xdr:rowOff>179580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showGridLines="0" tabSelected="1" topLeftCell="A49" zoomScaleNormal="100" workbookViewId="0">
      <selection activeCell="B48" sqref="B48"/>
    </sheetView>
  </sheetViews>
  <sheetFormatPr defaultColWidth="8.6640625" defaultRowHeight="14.4" x14ac:dyDescent="0.3"/>
  <cols>
    <col min="1" max="1" width="26.77734375" customWidth="1"/>
    <col min="2" max="2" width="24" customWidth="1"/>
    <col min="3" max="3" width="30" customWidth="1"/>
    <col min="4" max="4" width="22" customWidth="1"/>
    <col min="5" max="5" width="20.109375" customWidth="1"/>
    <col min="6" max="6" width="12.88671875" customWidth="1"/>
    <col min="7" max="7" width="13.77734375" customWidth="1"/>
    <col min="8" max="8" width="15.44140625" customWidth="1"/>
    <col min="9" max="9" width="15.88671875" customWidth="1"/>
    <col min="10" max="10" width="10.77734375" customWidth="1"/>
    <col min="11" max="11" width="18.33203125" customWidth="1"/>
  </cols>
  <sheetData>
    <row r="1" spans="1:11" ht="30" customHeight="1" x14ac:dyDescent="0.3">
      <c r="A1" s="3" t="s">
        <v>306</v>
      </c>
      <c r="B1" s="3"/>
      <c r="C1" s="3"/>
      <c r="D1" s="3"/>
      <c r="E1" s="3"/>
      <c r="F1" s="3"/>
      <c r="G1" s="3"/>
      <c r="H1" s="3"/>
      <c r="I1" s="3"/>
    </row>
    <row r="2" spans="1:11" ht="18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</row>
    <row r="4" spans="1:11" ht="18" customHeight="1" x14ac:dyDescent="0.3">
      <c r="A4" s="1" t="s">
        <v>1</v>
      </c>
      <c r="B4" s="1"/>
      <c r="C4" s="1"/>
      <c r="D4" s="1"/>
      <c r="E4" s="1"/>
      <c r="F4" s="1"/>
      <c r="G4" s="1"/>
      <c r="H4" s="1"/>
      <c r="I4" s="1"/>
    </row>
    <row r="5" spans="1:11" ht="30" customHeight="1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11" ht="77.25" customHeight="1" x14ac:dyDescent="0.3">
      <c r="A6" s="5" t="s">
        <v>7</v>
      </c>
      <c r="B6" s="6">
        <v>0.25</v>
      </c>
      <c r="C6" s="7" t="s">
        <v>8</v>
      </c>
      <c r="D6" s="8">
        <v>10</v>
      </c>
      <c r="E6" s="9">
        <f t="shared" ref="E6:E11" si="0">B6*D6</f>
        <v>2.5</v>
      </c>
    </row>
    <row r="7" spans="1:11" ht="77.25" customHeight="1" x14ac:dyDescent="0.3">
      <c r="A7" s="10" t="s">
        <v>9</v>
      </c>
      <c r="B7" s="11">
        <v>0.2</v>
      </c>
      <c r="C7" s="12" t="s">
        <v>10</v>
      </c>
      <c r="D7" s="13">
        <v>10</v>
      </c>
      <c r="E7" s="14">
        <f t="shared" si="0"/>
        <v>2</v>
      </c>
    </row>
    <row r="8" spans="1:11" ht="64.5" customHeight="1" x14ac:dyDescent="0.3">
      <c r="A8" s="5" t="s">
        <v>11</v>
      </c>
      <c r="B8" s="6">
        <v>0.2</v>
      </c>
      <c r="C8" s="7" t="s">
        <v>12</v>
      </c>
      <c r="D8" s="8">
        <v>10</v>
      </c>
      <c r="E8" s="9">
        <f t="shared" si="0"/>
        <v>2</v>
      </c>
    </row>
    <row r="9" spans="1:11" ht="51.75" customHeight="1" x14ac:dyDescent="0.3">
      <c r="A9" s="10" t="s">
        <v>13</v>
      </c>
      <c r="B9" s="11">
        <v>0.15</v>
      </c>
      <c r="C9" s="12" t="s">
        <v>14</v>
      </c>
      <c r="D9" s="13">
        <v>10</v>
      </c>
      <c r="E9" s="14">
        <f t="shared" si="0"/>
        <v>1.5</v>
      </c>
    </row>
    <row r="10" spans="1:11" ht="77.25" customHeight="1" x14ac:dyDescent="0.3">
      <c r="A10" s="5" t="s">
        <v>15</v>
      </c>
      <c r="B10" s="6">
        <v>0.12</v>
      </c>
      <c r="C10" s="7" t="s">
        <v>16</v>
      </c>
      <c r="D10" s="8">
        <v>10</v>
      </c>
      <c r="E10" s="9">
        <f t="shared" si="0"/>
        <v>1.2</v>
      </c>
    </row>
    <row r="11" spans="1:11" ht="64.5" customHeight="1" x14ac:dyDescent="0.3">
      <c r="A11" s="10" t="s">
        <v>17</v>
      </c>
      <c r="B11" s="11">
        <v>0.08</v>
      </c>
      <c r="C11" s="12" t="s">
        <v>18</v>
      </c>
      <c r="D11" s="13">
        <v>10</v>
      </c>
      <c r="E11" s="14">
        <f t="shared" si="0"/>
        <v>0.8</v>
      </c>
    </row>
    <row r="12" spans="1:11" ht="15" customHeight="1" x14ac:dyDescent="0.3">
      <c r="A12" s="15" t="s">
        <v>19</v>
      </c>
      <c r="B12" s="16">
        <f>SUM(B6:B11)</f>
        <v>1</v>
      </c>
      <c r="C12" s="17"/>
      <c r="D12" s="17"/>
      <c r="E12" s="18">
        <f>SUM(E6:E11)</f>
        <v>10</v>
      </c>
    </row>
    <row r="14" spans="1:11" ht="18" customHeight="1" x14ac:dyDescent="0.3"/>
    <row r="15" spans="1:11" ht="20.399999999999999" customHeight="1" x14ac:dyDescent="0.3">
      <c r="A15" s="84" t="s">
        <v>20</v>
      </c>
      <c r="B15" s="84"/>
      <c r="C15" s="84"/>
      <c r="D15" s="84"/>
      <c r="E15" s="84"/>
      <c r="F15" s="84"/>
      <c r="G15" s="84"/>
      <c r="H15" s="84"/>
      <c r="I15" s="84"/>
      <c r="J15" s="85"/>
      <c r="K15" s="85"/>
    </row>
    <row r="16" spans="1:11" ht="39.6" customHeight="1" x14ac:dyDescent="0.3">
      <c r="A16" s="4" t="s">
        <v>21</v>
      </c>
      <c r="B16" s="4" t="s">
        <v>22</v>
      </c>
      <c r="C16" s="4" t="s">
        <v>23</v>
      </c>
      <c r="D16" s="4" t="s">
        <v>24</v>
      </c>
      <c r="E16" s="4" t="s">
        <v>25</v>
      </c>
      <c r="F16" s="4" t="s">
        <v>26</v>
      </c>
      <c r="G16" s="4" t="s">
        <v>27</v>
      </c>
      <c r="H16" s="4" t="s">
        <v>28</v>
      </c>
      <c r="I16" s="4" t="s">
        <v>29</v>
      </c>
      <c r="J16" s="4" t="s">
        <v>30</v>
      </c>
      <c r="K16" s="4" t="s">
        <v>31</v>
      </c>
    </row>
    <row r="17" spans="1:11" ht="15" customHeight="1" x14ac:dyDescent="0.3">
      <c r="A17" s="5" t="s">
        <v>32</v>
      </c>
      <c r="B17" s="19" t="s">
        <v>33</v>
      </c>
      <c r="C17" s="8">
        <v>8</v>
      </c>
      <c r="D17" s="8">
        <v>7</v>
      </c>
      <c r="E17" s="8">
        <v>9</v>
      </c>
      <c r="F17" s="8">
        <v>8</v>
      </c>
      <c r="G17" s="8">
        <v>7</v>
      </c>
      <c r="H17" s="8">
        <v>9</v>
      </c>
      <c r="I17" s="20">
        <f t="shared" ref="I17:I24" si="1">C17*$B$6+D17*$B$7+E17*$B$8+F17*$B$9+G17*$B$10+H17*$B$11</f>
        <v>7.96</v>
      </c>
      <c r="J17" s="21">
        <f>RANK(I17,I17:I24,0)</f>
        <v>2</v>
      </c>
      <c r="K17" s="22" t="str">
        <f t="shared" ref="K17:K24" si="2">IF(I17&gt;=7.5,"✔ Approved",IF(I17&gt;=6,"⚠ Review","✘ Rejected"))</f>
        <v>✔ Approved</v>
      </c>
    </row>
    <row r="18" spans="1:11" ht="15" customHeight="1" x14ac:dyDescent="0.3">
      <c r="A18" s="10" t="s">
        <v>34</v>
      </c>
      <c r="B18" s="23" t="s">
        <v>35</v>
      </c>
      <c r="C18" s="13">
        <v>9</v>
      </c>
      <c r="D18" s="13">
        <v>6</v>
      </c>
      <c r="E18" s="13">
        <v>8</v>
      </c>
      <c r="F18" s="13">
        <v>9</v>
      </c>
      <c r="G18" s="13">
        <v>8</v>
      </c>
      <c r="H18" s="13">
        <v>7</v>
      </c>
      <c r="I18" s="24">
        <f t="shared" si="1"/>
        <v>7.92</v>
      </c>
      <c r="J18" s="21">
        <f>RANK(I18,I17:I24,0)</f>
        <v>3</v>
      </c>
      <c r="K18" s="22" t="str">
        <f t="shared" si="2"/>
        <v>✔ Approved</v>
      </c>
    </row>
    <row r="19" spans="1:11" ht="15" customHeight="1" x14ac:dyDescent="0.3">
      <c r="A19" s="5" t="s">
        <v>36</v>
      </c>
      <c r="B19" s="19" t="s">
        <v>37</v>
      </c>
      <c r="C19" s="8">
        <v>7</v>
      </c>
      <c r="D19" s="8">
        <v>8</v>
      </c>
      <c r="E19" s="8">
        <v>8</v>
      </c>
      <c r="F19" s="8">
        <v>7</v>
      </c>
      <c r="G19" s="8">
        <v>6</v>
      </c>
      <c r="H19" s="8">
        <v>8</v>
      </c>
      <c r="I19" s="20">
        <f t="shared" si="1"/>
        <v>7.3599999999999994</v>
      </c>
      <c r="J19" s="21">
        <f>RANK(I19,I17:I24,0)</f>
        <v>6</v>
      </c>
      <c r="K19" s="22" t="str">
        <f t="shared" si="2"/>
        <v>⚠ Review</v>
      </c>
    </row>
    <row r="20" spans="1:11" ht="15" customHeight="1" x14ac:dyDescent="0.3">
      <c r="A20" s="10" t="s">
        <v>38</v>
      </c>
      <c r="B20" s="23" t="s">
        <v>39</v>
      </c>
      <c r="C20" s="13">
        <v>8</v>
      </c>
      <c r="D20" s="13">
        <v>9</v>
      </c>
      <c r="E20" s="13">
        <v>7</v>
      </c>
      <c r="F20" s="13">
        <v>8</v>
      </c>
      <c r="G20" s="13">
        <v>9</v>
      </c>
      <c r="H20" s="13">
        <v>9</v>
      </c>
      <c r="I20" s="24">
        <f t="shared" si="1"/>
        <v>8.2000000000000011</v>
      </c>
      <c r="J20" s="21">
        <f>RANK(I20,I17:I24,0)</f>
        <v>1</v>
      </c>
      <c r="K20" s="22" t="str">
        <f t="shared" si="2"/>
        <v>✔ Approved</v>
      </c>
    </row>
    <row r="21" spans="1:11" ht="15" customHeight="1" x14ac:dyDescent="0.3">
      <c r="A21" s="5" t="s">
        <v>40</v>
      </c>
      <c r="B21" s="19" t="s">
        <v>33</v>
      </c>
      <c r="C21" s="8">
        <v>6</v>
      </c>
      <c r="D21" s="8">
        <v>8</v>
      </c>
      <c r="E21" s="8">
        <v>6</v>
      </c>
      <c r="F21" s="8">
        <v>7</v>
      </c>
      <c r="G21" s="8">
        <v>8</v>
      </c>
      <c r="H21" s="8">
        <v>7</v>
      </c>
      <c r="I21" s="20">
        <f t="shared" si="1"/>
        <v>6.870000000000001</v>
      </c>
      <c r="J21" s="21">
        <f>RANK(I21,I17:I24,0)</f>
        <v>8</v>
      </c>
      <c r="K21" s="22" t="str">
        <f t="shared" si="2"/>
        <v>⚠ Review</v>
      </c>
    </row>
    <row r="22" spans="1:11" ht="15" customHeight="1" x14ac:dyDescent="0.3">
      <c r="A22" s="10" t="s">
        <v>41</v>
      </c>
      <c r="B22" s="23" t="s">
        <v>35</v>
      </c>
      <c r="C22" s="13">
        <v>7</v>
      </c>
      <c r="D22" s="13">
        <v>7</v>
      </c>
      <c r="E22" s="13">
        <v>8</v>
      </c>
      <c r="F22" s="13">
        <v>8</v>
      </c>
      <c r="G22" s="13">
        <v>7</v>
      </c>
      <c r="H22" s="13">
        <v>6</v>
      </c>
      <c r="I22" s="24">
        <f t="shared" si="1"/>
        <v>7.27</v>
      </c>
      <c r="J22" s="21">
        <f>RANK(I22,I17:I24,0)</f>
        <v>7</v>
      </c>
      <c r="K22" s="22" t="str">
        <f t="shared" si="2"/>
        <v>⚠ Review</v>
      </c>
    </row>
    <row r="23" spans="1:11" ht="15" customHeight="1" x14ac:dyDescent="0.3">
      <c r="A23" s="5" t="s">
        <v>42</v>
      </c>
      <c r="B23" s="19" t="s">
        <v>37</v>
      </c>
      <c r="C23" s="8">
        <v>9</v>
      </c>
      <c r="D23" s="8">
        <v>5</v>
      </c>
      <c r="E23" s="8">
        <v>9</v>
      </c>
      <c r="F23" s="8">
        <v>8</v>
      </c>
      <c r="G23" s="8">
        <v>7</v>
      </c>
      <c r="H23" s="8">
        <v>8</v>
      </c>
      <c r="I23" s="20">
        <f t="shared" si="1"/>
        <v>7.7299999999999995</v>
      </c>
      <c r="J23" s="21">
        <f>RANK(I23,I17:I24,0)</f>
        <v>5</v>
      </c>
      <c r="K23" s="22" t="str">
        <f t="shared" si="2"/>
        <v>✔ Approved</v>
      </c>
    </row>
    <row r="24" spans="1:11" x14ac:dyDescent="0.3">
      <c r="A24" s="10" t="s">
        <v>43</v>
      </c>
      <c r="B24" s="23" t="s">
        <v>39</v>
      </c>
      <c r="C24" s="13">
        <v>7</v>
      </c>
      <c r="D24" s="13">
        <v>9</v>
      </c>
      <c r="E24" s="13">
        <v>8</v>
      </c>
      <c r="F24" s="13">
        <v>7</v>
      </c>
      <c r="G24" s="13">
        <v>9</v>
      </c>
      <c r="H24" s="13">
        <v>8</v>
      </c>
      <c r="I24" s="24">
        <f t="shared" si="1"/>
        <v>7.92</v>
      </c>
      <c r="J24" s="21">
        <f>RANK(I24,I17:I24,0)</f>
        <v>3</v>
      </c>
      <c r="K24" s="22" t="str">
        <f t="shared" si="2"/>
        <v>✔ Approved</v>
      </c>
    </row>
    <row r="25" spans="1:11" ht="18" customHeight="1" x14ac:dyDescent="0.3"/>
    <row r="26" spans="1:11" ht="19.8" customHeight="1" x14ac:dyDescent="0.3"/>
    <row r="27" spans="1:11" ht="1.2" customHeight="1" x14ac:dyDescent="0.3"/>
    <row r="28" spans="1:11" ht="20.399999999999999" customHeight="1" x14ac:dyDescent="0.3">
      <c r="A28" s="1" t="s">
        <v>44</v>
      </c>
      <c r="B28" s="1"/>
      <c r="C28" s="1"/>
      <c r="D28" s="1"/>
      <c r="E28" s="1"/>
      <c r="F28" s="1"/>
      <c r="G28" s="1"/>
      <c r="H28" s="1"/>
      <c r="I28" s="1"/>
    </row>
    <row r="29" spans="1:11" ht="26.25" customHeight="1" x14ac:dyDescent="0.3">
      <c r="A29" s="4" t="s">
        <v>22</v>
      </c>
      <c r="B29" s="4" t="s">
        <v>45</v>
      </c>
      <c r="C29" s="4" t="s">
        <v>46</v>
      </c>
      <c r="D29" s="4" t="s">
        <v>47</v>
      </c>
    </row>
    <row r="30" spans="1:11" ht="26.25" customHeight="1" x14ac:dyDescent="0.3">
      <c r="A30" s="10" t="s">
        <v>37</v>
      </c>
      <c r="B30" s="23" t="s">
        <v>36</v>
      </c>
      <c r="C30" s="25">
        <v>7.54</v>
      </c>
      <c r="D30" s="12" t="s">
        <v>48</v>
      </c>
    </row>
    <row r="31" spans="1:11" ht="41.4" x14ac:dyDescent="0.3">
      <c r="A31" s="5" t="s">
        <v>35</v>
      </c>
      <c r="B31" s="19" t="s">
        <v>34</v>
      </c>
      <c r="C31" s="26">
        <v>7.85</v>
      </c>
      <c r="D31" s="7" t="s">
        <v>49</v>
      </c>
    </row>
    <row r="32" spans="1:11" ht="41.4" x14ac:dyDescent="0.3">
      <c r="A32" s="10" t="s">
        <v>33</v>
      </c>
      <c r="B32" s="23" t="s">
        <v>32</v>
      </c>
      <c r="C32" s="25">
        <v>8.15</v>
      </c>
      <c r="D32" s="12" t="s">
        <v>50</v>
      </c>
    </row>
    <row r="33" spans="1:4" ht="41.4" x14ac:dyDescent="0.3">
      <c r="A33" s="5" t="s">
        <v>39</v>
      </c>
      <c r="B33" s="19" t="s">
        <v>38</v>
      </c>
      <c r="C33" s="26">
        <v>8.23</v>
      </c>
      <c r="D33" s="7" t="s">
        <v>51</v>
      </c>
    </row>
  </sheetData>
  <mergeCells count="5">
    <mergeCell ref="A1:I1"/>
    <mergeCell ref="A2:I2"/>
    <mergeCell ref="A4:I4"/>
    <mergeCell ref="A15:I15"/>
    <mergeCell ref="A28:I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showGridLines="0" topLeftCell="A25" zoomScaleNormal="100" workbookViewId="0">
      <selection activeCell="A22" sqref="A22:J28"/>
    </sheetView>
  </sheetViews>
  <sheetFormatPr defaultColWidth="8.6640625" defaultRowHeight="14.4" x14ac:dyDescent="0.3"/>
  <cols>
    <col min="1" max="1" width="30" customWidth="1"/>
    <col min="2" max="3" width="20" customWidth="1"/>
    <col min="4" max="4" width="16.109375" customWidth="1"/>
    <col min="5" max="5" width="14" customWidth="1"/>
    <col min="6" max="8" width="16" customWidth="1"/>
    <col min="9" max="9" width="19.77734375" customWidth="1"/>
    <col min="10" max="10" width="22.5546875" customWidth="1"/>
  </cols>
  <sheetData>
    <row r="1" spans="1:10" ht="30" customHeight="1" x14ac:dyDescent="0.3">
      <c r="A1" s="3" t="s">
        <v>298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3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</row>
    <row r="4" spans="1:10" ht="18" customHeight="1" x14ac:dyDescent="0.3">
      <c r="A4" s="1" t="s">
        <v>53</v>
      </c>
      <c r="B4" s="1"/>
      <c r="C4" s="1"/>
      <c r="D4" s="1"/>
      <c r="E4" s="1"/>
      <c r="F4" s="1"/>
      <c r="G4" s="1"/>
      <c r="H4" s="1"/>
      <c r="I4" s="1"/>
      <c r="J4" s="1"/>
    </row>
    <row r="5" spans="1:10" ht="37.799999999999997" customHeight="1" x14ac:dyDescent="0.3">
      <c r="A5" s="4" t="s">
        <v>54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</row>
    <row r="6" spans="1:10" ht="15" customHeight="1" x14ac:dyDescent="0.3">
      <c r="A6" s="53" t="s">
        <v>64</v>
      </c>
      <c r="B6" s="28">
        <v>85</v>
      </c>
      <c r="C6" s="29">
        <v>0.88</v>
      </c>
      <c r="D6" s="28" t="s">
        <v>65</v>
      </c>
      <c r="E6" s="30">
        <v>0.12</v>
      </c>
      <c r="F6" s="31">
        <f t="shared" ref="F6:F17" si="0">B6*(1+E6)</f>
        <v>95.2</v>
      </c>
      <c r="G6" s="32">
        <f t="shared" ref="G6:G17" si="1">F6*1.15</f>
        <v>109.47999999999999</v>
      </c>
      <c r="H6" s="32">
        <f t="shared" ref="H6:H17" si="2">F6*0.85</f>
        <v>80.92</v>
      </c>
      <c r="I6" s="28" t="str">
        <f t="shared" ref="I6:I17" si="3">IF(B6&gt;=100,"🔴 Peak","🟢 Normal")</f>
        <v>🟢 Normal</v>
      </c>
      <c r="J6" s="32">
        <f t="shared" ref="J6:J17" si="4">CEILING(F6/4,1)</f>
        <v>24</v>
      </c>
    </row>
    <row r="7" spans="1:10" ht="15" customHeight="1" x14ac:dyDescent="0.3">
      <c r="A7" s="56" t="s">
        <v>66</v>
      </c>
      <c r="B7" s="34">
        <v>110</v>
      </c>
      <c r="C7" s="35">
        <v>1.1399999999999999</v>
      </c>
      <c r="D7" s="34" t="s">
        <v>65</v>
      </c>
      <c r="E7" s="36">
        <v>0.12</v>
      </c>
      <c r="F7" s="37">
        <f t="shared" si="0"/>
        <v>123.20000000000002</v>
      </c>
      <c r="G7" s="38">
        <f t="shared" si="1"/>
        <v>141.68</v>
      </c>
      <c r="H7" s="38">
        <f t="shared" si="2"/>
        <v>104.72000000000001</v>
      </c>
      <c r="I7" s="34" t="str">
        <f t="shared" si="3"/>
        <v>🔴 Peak</v>
      </c>
      <c r="J7" s="38">
        <f t="shared" si="4"/>
        <v>31</v>
      </c>
    </row>
    <row r="8" spans="1:10" ht="15" customHeight="1" x14ac:dyDescent="0.3">
      <c r="A8" s="53" t="s">
        <v>67</v>
      </c>
      <c r="B8" s="28">
        <v>70</v>
      </c>
      <c r="C8" s="29">
        <v>0.73</v>
      </c>
      <c r="D8" s="39">
        <f t="shared" ref="D8:D17" si="5">AVERAGE(B6:B8)</f>
        <v>88.333333333333329</v>
      </c>
      <c r="E8" s="30">
        <v>0.12</v>
      </c>
      <c r="F8" s="31">
        <f t="shared" si="0"/>
        <v>78.400000000000006</v>
      </c>
      <c r="G8" s="32">
        <f t="shared" si="1"/>
        <v>90.16</v>
      </c>
      <c r="H8" s="32">
        <f t="shared" si="2"/>
        <v>66.64</v>
      </c>
      <c r="I8" s="28" t="str">
        <f t="shared" si="3"/>
        <v>🟢 Normal</v>
      </c>
      <c r="J8" s="32">
        <f t="shared" si="4"/>
        <v>20</v>
      </c>
    </row>
    <row r="9" spans="1:10" ht="15" customHeight="1" x14ac:dyDescent="0.3">
      <c r="A9" s="53" t="s">
        <v>68</v>
      </c>
      <c r="B9" s="28">
        <v>95</v>
      </c>
      <c r="C9" s="29">
        <v>0.98</v>
      </c>
      <c r="D9" s="39">
        <f t="shared" si="5"/>
        <v>91.666666666666671</v>
      </c>
      <c r="E9" s="30">
        <v>0.12</v>
      </c>
      <c r="F9" s="31">
        <f t="shared" si="0"/>
        <v>106.4</v>
      </c>
      <c r="G9" s="32">
        <f t="shared" si="1"/>
        <v>122.36</v>
      </c>
      <c r="H9" s="32">
        <f t="shared" si="2"/>
        <v>90.44</v>
      </c>
      <c r="I9" s="28" t="str">
        <f t="shared" si="3"/>
        <v>🟢 Normal</v>
      </c>
      <c r="J9" s="32">
        <f t="shared" si="4"/>
        <v>27</v>
      </c>
    </row>
    <row r="10" spans="1:10" ht="15" customHeight="1" x14ac:dyDescent="0.3">
      <c r="A10" s="56" t="s">
        <v>69</v>
      </c>
      <c r="B10" s="34">
        <v>120</v>
      </c>
      <c r="C10" s="35">
        <v>1.24</v>
      </c>
      <c r="D10" s="40">
        <f t="shared" si="5"/>
        <v>95</v>
      </c>
      <c r="E10" s="36">
        <v>0.12</v>
      </c>
      <c r="F10" s="37">
        <f t="shared" si="0"/>
        <v>134.4</v>
      </c>
      <c r="G10" s="38">
        <f t="shared" si="1"/>
        <v>154.56</v>
      </c>
      <c r="H10" s="38">
        <f t="shared" si="2"/>
        <v>114.24</v>
      </c>
      <c r="I10" s="34" t="str">
        <f t="shared" si="3"/>
        <v>🔴 Peak</v>
      </c>
      <c r="J10" s="38">
        <f t="shared" si="4"/>
        <v>34</v>
      </c>
    </row>
    <row r="11" spans="1:10" ht="15" customHeight="1" x14ac:dyDescent="0.3">
      <c r="A11" s="50" t="s">
        <v>70</v>
      </c>
      <c r="B11" s="42">
        <v>45</v>
      </c>
      <c r="C11" s="43">
        <v>0.47</v>
      </c>
      <c r="D11" s="44">
        <f t="shared" si="5"/>
        <v>86.666666666666671</v>
      </c>
      <c r="E11" s="45">
        <v>0.12</v>
      </c>
      <c r="F11" s="46">
        <f t="shared" si="0"/>
        <v>50.400000000000006</v>
      </c>
      <c r="G11" s="47">
        <f t="shared" si="1"/>
        <v>57.96</v>
      </c>
      <c r="H11" s="47">
        <f t="shared" si="2"/>
        <v>42.84</v>
      </c>
      <c r="I11" s="42" t="str">
        <f t="shared" si="3"/>
        <v>🟢 Normal</v>
      </c>
      <c r="J11" s="47">
        <f t="shared" si="4"/>
        <v>13</v>
      </c>
    </row>
    <row r="12" spans="1:10" ht="15" customHeight="1" x14ac:dyDescent="0.3">
      <c r="A12" s="50" t="s">
        <v>71</v>
      </c>
      <c r="B12" s="42">
        <v>30</v>
      </c>
      <c r="C12" s="43">
        <v>0.31</v>
      </c>
      <c r="D12" s="44">
        <f t="shared" si="5"/>
        <v>65</v>
      </c>
      <c r="E12" s="45">
        <v>0.12</v>
      </c>
      <c r="F12" s="46">
        <f t="shared" si="0"/>
        <v>33.6</v>
      </c>
      <c r="G12" s="47">
        <f t="shared" si="1"/>
        <v>38.64</v>
      </c>
      <c r="H12" s="47">
        <f t="shared" si="2"/>
        <v>28.56</v>
      </c>
      <c r="I12" s="42" t="str">
        <f t="shared" si="3"/>
        <v>🟢 Normal</v>
      </c>
      <c r="J12" s="47">
        <f t="shared" si="4"/>
        <v>9</v>
      </c>
    </row>
    <row r="13" spans="1:10" ht="15" customHeight="1" x14ac:dyDescent="0.3">
      <c r="A13" s="50" t="s">
        <v>72</v>
      </c>
      <c r="B13" s="42">
        <v>35</v>
      </c>
      <c r="C13" s="43">
        <v>0.36</v>
      </c>
      <c r="D13" s="44">
        <f t="shared" si="5"/>
        <v>36.666666666666664</v>
      </c>
      <c r="E13" s="45">
        <v>0.12</v>
      </c>
      <c r="F13" s="46">
        <f t="shared" si="0"/>
        <v>39.200000000000003</v>
      </c>
      <c r="G13" s="47">
        <f t="shared" si="1"/>
        <v>45.08</v>
      </c>
      <c r="H13" s="47">
        <f t="shared" si="2"/>
        <v>33.32</v>
      </c>
      <c r="I13" s="42" t="str">
        <f t="shared" si="3"/>
        <v>🟢 Normal</v>
      </c>
      <c r="J13" s="47">
        <f t="shared" si="4"/>
        <v>10</v>
      </c>
    </row>
    <row r="14" spans="1:10" ht="15" customHeight="1" x14ac:dyDescent="0.3">
      <c r="A14" s="50" t="s">
        <v>73</v>
      </c>
      <c r="B14" s="42">
        <v>50</v>
      </c>
      <c r="C14" s="43">
        <v>0.52</v>
      </c>
      <c r="D14" s="44">
        <f t="shared" si="5"/>
        <v>38.333333333333336</v>
      </c>
      <c r="E14" s="45">
        <v>0.12</v>
      </c>
      <c r="F14" s="46">
        <f t="shared" si="0"/>
        <v>56.000000000000007</v>
      </c>
      <c r="G14" s="47">
        <f t="shared" si="1"/>
        <v>64.400000000000006</v>
      </c>
      <c r="H14" s="47">
        <f t="shared" si="2"/>
        <v>47.6</v>
      </c>
      <c r="I14" s="42" t="str">
        <f t="shared" si="3"/>
        <v>🟢 Normal</v>
      </c>
      <c r="J14" s="47">
        <f t="shared" si="4"/>
        <v>14</v>
      </c>
    </row>
    <row r="15" spans="1:10" ht="15" customHeight="1" x14ac:dyDescent="0.3">
      <c r="A15" s="53" t="s">
        <v>74</v>
      </c>
      <c r="B15" s="28">
        <v>75</v>
      </c>
      <c r="C15" s="29">
        <v>0.78</v>
      </c>
      <c r="D15" s="39">
        <f t="shared" si="5"/>
        <v>53.333333333333336</v>
      </c>
      <c r="E15" s="30">
        <v>0.12</v>
      </c>
      <c r="F15" s="31">
        <f t="shared" si="0"/>
        <v>84.000000000000014</v>
      </c>
      <c r="G15" s="32">
        <f t="shared" si="1"/>
        <v>96.600000000000009</v>
      </c>
      <c r="H15" s="32">
        <f t="shared" si="2"/>
        <v>71.400000000000006</v>
      </c>
      <c r="I15" s="28" t="str">
        <f t="shared" si="3"/>
        <v>🟢 Normal</v>
      </c>
      <c r="J15" s="32">
        <f t="shared" si="4"/>
        <v>21</v>
      </c>
    </row>
    <row r="16" spans="1:10" ht="15" customHeight="1" x14ac:dyDescent="0.3">
      <c r="A16" s="56" t="s">
        <v>75</v>
      </c>
      <c r="B16" s="34">
        <v>140</v>
      </c>
      <c r="C16" s="35">
        <v>1.45</v>
      </c>
      <c r="D16" s="40">
        <f t="shared" si="5"/>
        <v>88.333333333333329</v>
      </c>
      <c r="E16" s="36">
        <v>0.12</v>
      </c>
      <c r="F16" s="37">
        <f t="shared" si="0"/>
        <v>156.80000000000001</v>
      </c>
      <c r="G16" s="38">
        <f t="shared" si="1"/>
        <v>180.32</v>
      </c>
      <c r="H16" s="38">
        <f t="shared" si="2"/>
        <v>133.28</v>
      </c>
      <c r="I16" s="34" t="str">
        <f t="shared" si="3"/>
        <v>🔴 Peak</v>
      </c>
      <c r="J16" s="38">
        <f t="shared" si="4"/>
        <v>40</v>
      </c>
    </row>
    <row r="17" spans="1:10" ht="15" customHeight="1" x14ac:dyDescent="0.3">
      <c r="A17" s="56" t="s">
        <v>76</v>
      </c>
      <c r="B17" s="34">
        <v>155</v>
      </c>
      <c r="C17" s="35">
        <v>1.61</v>
      </c>
      <c r="D17" s="40">
        <f t="shared" si="5"/>
        <v>123.33333333333333</v>
      </c>
      <c r="E17" s="36">
        <v>0.12</v>
      </c>
      <c r="F17" s="37">
        <f t="shared" si="0"/>
        <v>173.60000000000002</v>
      </c>
      <c r="G17" s="38">
        <f t="shared" si="1"/>
        <v>199.64000000000001</v>
      </c>
      <c r="H17" s="38">
        <f t="shared" si="2"/>
        <v>147.56</v>
      </c>
      <c r="I17" s="34" t="str">
        <f t="shared" si="3"/>
        <v>🔴 Peak</v>
      </c>
      <c r="J17" s="38">
        <f t="shared" si="4"/>
        <v>44</v>
      </c>
    </row>
    <row r="18" spans="1:10" ht="23.4" customHeight="1" x14ac:dyDescent="0.3">
      <c r="A18" s="15" t="s">
        <v>77</v>
      </c>
      <c r="B18" s="15">
        <f>SUM(B6:B17)</f>
        <v>1010</v>
      </c>
      <c r="C18" s="49">
        <f>AVERAGE(C6:C17)</f>
        <v>0.87249999999999994</v>
      </c>
      <c r="D18" s="15"/>
      <c r="E18" s="16">
        <v>0.12</v>
      </c>
      <c r="F18" s="15">
        <f>SUM(F6:F17)</f>
        <v>1131.2000000000003</v>
      </c>
      <c r="G18" s="15">
        <f>SUM(G6:G17)</f>
        <v>1300.8800000000001</v>
      </c>
      <c r="H18" s="15">
        <f>SUM(H6:H17)</f>
        <v>961.52</v>
      </c>
      <c r="I18" s="15"/>
      <c r="J18" s="15">
        <f>SUM(J6:J17)</f>
        <v>287</v>
      </c>
    </row>
    <row r="20" spans="1:10" ht="18" customHeight="1" x14ac:dyDescent="0.3"/>
    <row r="21" spans="1:10" ht="19.8" customHeight="1" x14ac:dyDescent="0.3"/>
    <row r="22" spans="1:10" ht="15" customHeight="1" x14ac:dyDescent="0.3">
      <c r="A22" s="1" t="s">
        <v>78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22.2" customHeight="1" x14ac:dyDescent="0.3">
      <c r="A23" s="4" t="s">
        <v>79</v>
      </c>
      <c r="B23" s="4" t="s">
        <v>80</v>
      </c>
      <c r="C23" s="4" t="s">
        <v>81</v>
      </c>
      <c r="D23" s="4" t="s">
        <v>31</v>
      </c>
      <c r="E23" s="71"/>
      <c r="F23" s="71"/>
      <c r="G23" s="71"/>
      <c r="H23" s="71"/>
      <c r="I23" s="71"/>
      <c r="J23" s="71"/>
    </row>
    <row r="24" spans="1:10" ht="15" customHeight="1" x14ac:dyDescent="0.3">
      <c r="A24" s="59" t="s">
        <v>82</v>
      </c>
      <c r="B24" s="26">
        <f>SUM(B15:B17,B6)</f>
        <v>455</v>
      </c>
      <c r="C24" s="8">
        <v>450</v>
      </c>
      <c r="D24" s="8" t="s">
        <v>83</v>
      </c>
      <c r="E24" s="71"/>
      <c r="F24" s="71"/>
      <c r="G24" s="71"/>
      <c r="H24" s="71"/>
      <c r="I24" s="71"/>
      <c r="J24" s="71"/>
    </row>
    <row r="25" spans="1:10" ht="15" customHeight="1" x14ac:dyDescent="0.3">
      <c r="A25" s="72" t="s">
        <v>84</v>
      </c>
      <c r="B25" s="25">
        <f>SUM(B11:B13)</f>
        <v>110</v>
      </c>
      <c r="C25" s="13">
        <v>120</v>
      </c>
      <c r="D25" s="13" t="s">
        <v>85</v>
      </c>
      <c r="E25" s="71"/>
      <c r="F25" s="71"/>
      <c r="G25" s="71"/>
      <c r="H25" s="71"/>
      <c r="I25" s="71"/>
      <c r="J25" s="71"/>
    </row>
    <row r="26" spans="1:10" ht="15" customHeight="1" x14ac:dyDescent="0.3">
      <c r="A26" s="59" t="s">
        <v>86</v>
      </c>
      <c r="B26" s="26">
        <f>B24/B25</f>
        <v>4.1363636363636367</v>
      </c>
      <c r="C26" s="8" t="s">
        <v>87</v>
      </c>
      <c r="D26" s="8" t="s">
        <v>88</v>
      </c>
      <c r="E26" s="71"/>
      <c r="F26" s="71"/>
      <c r="G26" s="71"/>
      <c r="H26" s="71"/>
      <c r="I26" s="71"/>
      <c r="J26" s="71"/>
    </row>
    <row r="27" spans="1:10" x14ac:dyDescent="0.3">
      <c r="A27" s="72" t="s">
        <v>89</v>
      </c>
      <c r="B27" s="11">
        <v>0.12</v>
      </c>
      <c r="C27" s="13" t="s">
        <v>90</v>
      </c>
      <c r="D27" s="13" t="s">
        <v>91</v>
      </c>
      <c r="E27" s="71"/>
      <c r="F27" s="71"/>
      <c r="G27" s="71"/>
      <c r="H27" s="71"/>
      <c r="I27" s="71"/>
      <c r="J27" s="71"/>
    </row>
    <row r="28" spans="1:10" x14ac:dyDescent="0.3">
      <c r="A28" s="59" t="s">
        <v>92</v>
      </c>
      <c r="B28" s="26">
        <f>F18</f>
        <v>1131.2000000000003</v>
      </c>
      <c r="C28" s="8">
        <v>1100</v>
      </c>
      <c r="D28" s="8" t="s">
        <v>93</v>
      </c>
      <c r="E28" s="71"/>
      <c r="F28" s="71"/>
      <c r="G28" s="71"/>
      <c r="H28" s="71"/>
      <c r="I28" s="71"/>
      <c r="J28" s="71"/>
    </row>
  </sheetData>
  <mergeCells count="4">
    <mergeCell ref="A1:J1"/>
    <mergeCell ref="A2:J2"/>
    <mergeCell ref="A4:J4"/>
    <mergeCell ref="A22:J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showGridLines="0" topLeftCell="A16" zoomScaleNormal="100" workbookViewId="0">
      <selection activeCell="G19" sqref="G19"/>
    </sheetView>
  </sheetViews>
  <sheetFormatPr defaultColWidth="8.6640625" defaultRowHeight="14.4" x14ac:dyDescent="0.3"/>
  <cols>
    <col min="1" max="1" width="17.21875" customWidth="1"/>
    <col min="2" max="2" width="21.5546875" customWidth="1"/>
    <col min="3" max="3" width="46" customWidth="1"/>
    <col min="4" max="4" width="17.5546875" customWidth="1"/>
    <col min="5" max="5" width="14.109375" customWidth="1"/>
    <col min="6" max="6" width="16.21875" customWidth="1"/>
    <col min="7" max="7" width="15.33203125" customWidth="1"/>
    <col min="8" max="8" width="42" customWidth="1"/>
    <col min="9" max="9" width="8.6640625" hidden="1" customWidth="1"/>
  </cols>
  <sheetData>
    <row r="1" spans="1:9" ht="30" customHeight="1" x14ac:dyDescent="0.3">
      <c r="A1" s="3" t="s">
        <v>299</v>
      </c>
      <c r="B1" s="3"/>
      <c r="C1" s="3"/>
      <c r="D1" s="3"/>
      <c r="E1" s="3"/>
      <c r="F1" s="3"/>
      <c r="G1" s="3"/>
      <c r="H1" s="3"/>
      <c r="I1" s="3"/>
    </row>
    <row r="2" spans="1:9" ht="18" customHeight="1" x14ac:dyDescent="0.3">
      <c r="A2" s="2" t="s">
        <v>94</v>
      </c>
      <c r="B2" s="2"/>
      <c r="C2" s="2"/>
      <c r="D2" s="2"/>
      <c r="E2" s="2"/>
      <c r="F2" s="2"/>
      <c r="G2" s="2"/>
      <c r="H2" s="2"/>
      <c r="I2" s="2"/>
    </row>
    <row r="4" spans="1:9" ht="18" customHeight="1" x14ac:dyDescent="0.3">
      <c r="A4" s="1" t="s">
        <v>300</v>
      </c>
      <c r="B4" s="1"/>
      <c r="C4" s="1"/>
      <c r="D4" s="1"/>
      <c r="E4" s="1"/>
      <c r="F4" s="1"/>
      <c r="G4" s="1"/>
      <c r="H4" s="1"/>
      <c r="I4" s="1"/>
    </row>
    <row r="5" spans="1:9" ht="38.4" customHeight="1" x14ac:dyDescent="0.3">
      <c r="A5" s="4" t="s">
        <v>95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4" t="s">
        <v>101</v>
      </c>
      <c r="H5" s="4" t="s">
        <v>102</v>
      </c>
    </row>
    <row r="6" spans="1:9" ht="36" customHeight="1" x14ac:dyDescent="0.3">
      <c r="A6" s="50" t="s">
        <v>103</v>
      </c>
      <c r="B6" s="41" t="s">
        <v>104</v>
      </c>
      <c r="C6" s="51" t="s">
        <v>105</v>
      </c>
      <c r="D6" s="52">
        <v>4</v>
      </c>
      <c r="E6" s="52">
        <v>5</v>
      </c>
      <c r="F6" s="52">
        <f t="shared" ref="F6:F17" si="0">D6*E6</f>
        <v>20</v>
      </c>
      <c r="G6" s="73" t="s">
        <v>106</v>
      </c>
      <c r="H6" s="51" t="s">
        <v>107</v>
      </c>
    </row>
    <row r="7" spans="1:9" ht="36" customHeight="1" x14ac:dyDescent="0.3">
      <c r="A7" s="53" t="s">
        <v>108</v>
      </c>
      <c r="B7" s="27" t="s">
        <v>109</v>
      </c>
      <c r="C7" s="54" t="s">
        <v>110</v>
      </c>
      <c r="D7" s="55">
        <v>3</v>
      </c>
      <c r="E7" s="55">
        <v>4</v>
      </c>
      <c r="F7" s="55">
        <f t="shared" si="0"/>
        <v>12</v>
      </c>
      <c r="G7" s="61" t="s">
        <v>111</v>
      </c>
      <c r="H7" s="54" t="s">
        <v>112</v>
      </c>
    </row>
    <row r="8" spans="1:9" ht="36" customHeight="1" x14ac:dyDescent="0.3">
      <c r="A8" s="53" t="s">
        <v>113</v>
      </c>
      <c r="B8" s="27" t="s">
        <v>114</v>
      </c>
      <c r="C8" s="54" t="s">
        <v>115</v>
      </c>
      <c r="D8" s="55">
        <v>2</v>
      </c>
      <c r="E8" s="55">
        <v>5</v>
      </c>
      <c r="F8" s="55">
        <f t="shared" si="0"/>
        <v>10</v>
      </c>
      <c r="G8" s="61" t="s">
        <v>111</v>
      </c>
      <c r="H8" s="54" t="s">
        <v>116</v>
      </c>
    </row>
    <row r="9" spans="1:9" ht="36" customHeight="1" x14ac:dyDescent="0.3">
      <c r="A9" s="56" t="s">
        <v>117</v>
      </c>
      <c r="B9" s="33" t="s">
        <v>118</v>
      </c>
      <c r="C9" s="57" t="s">
        <v>119</v>
      </c>
      <c r="D9" s="58">
        <v>2</v>
      </c>
      <c r="E9" s="58">
        <v>4</v>
      </c>
      <c r="F9" s="58">
        <f t="shared" si="0"/>
        <v>8</v>
      </c>
      <c r="G9" s="62" t="s">
        <v>120</v>
      </c>
      <c r="H9" s="57" t="s">
        <v>121</v>
      </c>
    </row>
    <row r="10" spans="1:9" ht="36" customHeight="1" x14ac:dyDescent="0.3">
      <c r="A10" s="53" t="s">
        <v>122</v>
      </c>
      <c r="B10" s="27" t="s">
        <v>123</v>
      </c>
      <c r="C10" s="54" t="s">
        <v>124</v>
      </c>
      <c r="D10" s="55">
        <v>3</v>
      </c>
      <c r="E10" s="55">
        <v>3</v>
      </c>
      <c r="F10" s="55">
        <f t="shared" si="0"/>
        <v>9</v>
      </c>
      <c r="G10" s="61" t="s">
        <v>111</v>
      </c>
      <c r="H10" s="54" t="s">
        <v>125</v>
      </c>
    </row>
    <row r="11" spans="1:9" ht="36" customHeight="1" x14ac:dyDescent="0.3">
      <c r="A11" s="50" t="s">
        <v>126</v>
      </c>
      <c r="B11" s="41" t="s">
        <v>127</v>
      </c>
      <c r="C11" s="51" t="s">
        <v>128</v>
      </c>
      <c r="D11" s="52">
        <v>3</v>
      </c>
      <c r="E11" s="52">
        <v>5</v>
      </c>
      <c r="F11" s="52">
        <f t="shared" si="0"/>
        <v>15</v>
      </c>
      <c r="G11" s="73" t="s">
        <v>106</v>
      </c>
      <c r="H11" s="51" t="s">
        <v>129</v>
      </c>
    </row>
    <row r="12" spans="1:9" ht="36" customHeight="1" x14ac:dyDescent="0.3">
      <c r="A12" s="56" t="s">
        <v>130</v>
      </c>
      <c r="B12" s="33" t="s">
        <v>131</v>
      </c>
      <c r="C12" s="57" t="s">
        <v>132</v>
      </c>
      <c r="D12" s="58">
        <v>2</v>
      </c>
      <c r="E12" s="58">
        <v>3</v>
      </c>
      <c r="F12" s="58">
        <f t="shared" si="0"/>
        <v>6</v>
      </c>
      <c r="G12" s="62" t="s">
        <v>120</v>
      </c>
      <c r="H12" s="57" t="s">
        <v>133</v>
      </c>
    </row>
    <row r="13" spans="1:9" ht="36" customHeight="1" x14ac:dyDescent="0.3">
      <c r="A13" s="56" t="s">
        <v>134</v>
      </c>
      <c r="B13" s="33" t="s">
        <v>135</v>
      </c>
      <c r="C13" s="57" t="s">
        <v>136</v>
      </c>
      <c r="D13" s="58">
        <v>2</v>
      </c>
      <c r="E13" s="58">
        <v>4</v>
      </c>
      <c r="F13" s="58">
        <f t="shared" si="0"/>
        <v>8</v>
      </c>
      <c r="G13" s="62" t="s">
        <v>120</v>
      </c>
      <c r="H13" s="57" t="s">
        <v>137</v>
      </c>
    </row>
    <row r="14" spans="1:9" ht="36" customHeight="1" x14ac:dyDescent="0.3">
      <c r="A14" s="56" t="s">
        <v>138</v>
      </c>
      <c r="B14" s="33" t="s">
        <v>139</v>
      </c>
      <c r="C14" s="57" t="s">
        <v>140</v>
      </c>
      <c r="D14" s="58">
        <v>1</v>
      </c>
      <c r="E14" s="58">
        <v>5</v>
      </c>
      <c r="F14" s="58">
        <f t="shared" si="0"/>
        <v>5</v>
      </c>
      <c r="G14" s="62" t="s">
        <v>120</v>
      </c>
      <c r="H14" s="57" t="s">
        <v>141</v>
      </c>
    </row>
    <row r="15" spans="1:9" ht="36" customHeight="1" x14ac:dyDescent="0.3">
      <c r="A15" s="59" t="s">
        <v>142</v>
      </c>
      <c r="B15" s="5" t="s">
        <v>143</v>
      </c>
      <c r="C15" s="7" t="s">
        <v>144</v>
      </c>
      <c r="D15" s="60">
        <v>1</v>
      </c>
      <c r="E15" s="60">
        <v>3</v>
      </c>
      <c r="F15" s="60">
        <f t="shared" si="0"/>
        <v>3</v>
      </c>
      <c r="G15" s="74" t="s">
        <v>145</v>
      </c>
      <c r="H15" s="7" t="s">
        <v>146</v>
      </c>
    </row>
    <row r="16" spans="1:9" ht="36" customHeight="1" x14ac:dyDescent="0.3">
      <c r="A16" s="56" t="s">
        <v>147</v>
      </c>
      <c r="B16" s="33" t="s">
        <v>148</v>
      </c>
      <c r="C16" s="57" t="s">
        <v>149</v>
      </c>
      <c r="D16" s="58">
        <v>1</v>
      </c>
      <c r="E16" s="58">
        <v>5</v>
      </c>
      <c r="F16" s="58">
        <f t="shared" si="0"/>
        <v>5</v>
      </c>
      <c r="G16" s="62" t="s">
        <v>120</v>
      </c>
      <c r="H16" s="57" t="s">
        <v>150</v>
      </c>
    </row>
    <row r="17" spans="1:9" ht="36" customHeight="1" x14ac:dyDescent="0.3">
      <c r="A17" s="56" t="s">
        <v>151</v>
      </c>
      <c r="B17" s="33" t="s">
        <v>152</v>
      </c>
      <c r="C17" s="57" t="s">
        <v>153</v>
      </c>
      <c r="D17" s="58">
        <v>2</v>
      </c>
      <c r="E17" s="58">
        <v>4</v>
      </c>
      <c r="F17" s="58">
        <f t="shared" si="0"/>
        <v>8</v>
      </c>
      <c r="G17" s="62" t="s">
        <v>120</v>
      </c>
      <c r="H17" s="57" t="s">
        <v>154</v>
      </c>
    </row>
    <row r="19" spans="1:9" ht="24.6" customHeight="1" x14ac:dyDescent="0.3">
      <c r="A19" s="15" t="s">
        <v>155</v>
      </c>
      <c r="B19" s="86" t="s">
        <v>156</v>
      </c>
      <c r="C19" s="55" t="s">
        <v>157</v>
      </c>
      <c r="D19" s="58" t="s">
        <v>158</v>
      </c>
      <c r="E19" s="87" t="s">
        <v>159</v>
      </c>
    </row>
    <row r="21" spans="1:9" ht="18" customHeight="1" x14ac:dyDescent="0.3"/>
    <row r="22" spans="1:9" ht="15" customHeight="1" x14ac:dyDescent="0.3"/>
    <row r="23" spans="1:9" ht="18" customHeight="1" x14ac:dyDescent="0.3">
      <c r="A23" s="1" t="s">
        <v>160</v>
      </c>
      <c r="B23" s="1"/>
      <c r="C23" s="1"/>
      <c r="D23" s="1"/>
      <c r="E23" s="1"/>
      <c r="F23" s="1"/>
      <c r="G23" s="1"/>
      <c r="H23" s="1"/>
      <c r="I23" s="1"/>
    </row>
    <row r="24" spans="1:9" ht="24.6" customHeight="1" x14ac:dyDescent="0.3">
      <c r="A24" s="63" t="s">
        <v>161</v>
      </c>
      <c r="B24" s="15" t="s">
        <v>162</v>
      </c>
      <c r="C24" s="15" t="s">
        <v>163</v>
      </c>
      <c r="D24" s="15" t="s">
        <v>164</v>
      </c>
      <c r="E24" s="15" t="s">
        <v>165</v>
      </c>
      <c r="F24" s="15" t="s">
        <v>166</v>
      </c>
    </row>
    <row r="25" spans="1:9" ht="15" customHeight="1" x14ac:dyDescent="0.3">
      <c r="A25" s="64" t="s">
        <v>167</v>
      </c>
      <c r="B25" s="58">
        <v>5</v>
      </c>
      <c r="C25" s="55">
        <v>10</v>
      </c>
      <c r="D25" s="52">
        <v>15</v>
      </c>
      <c r="E25" s="52">
        <v>20</v>
      </c>
      <c r="F25" s="52">
        <v>25</v>
      </c>
    </row>
    <row r="26" spans="1:9" ht="15" customHeight="1" x14ac:dyDescent="0.3">
      <c r="A26" s="64" t="s">
        <v>168</v>
      </c>
      <c r="B26" s="58">
        <v>4</v>
      </c>
      <c r="C26" s="58">
        <v>8</v>
      </c>
      <c r="D26" s="55">
        <v>12</v>
      </c>
      <c r="E26" s="52">
        <v>16</v>
      </c>
      <c r="F26" s="52">
        <v>20</v>
      </c>
    </row>
    <row r="27" spans="1:9" ht="15" customHeight="1" x14ac:dyDescent="0.3">
      <c r="A27" s="64" t="s">
        <v>169</v>
      </c>
      <c r="B27" s="60">
        <v>3</v>
      </c>
      <c r="C27" s="58">
        <v>6</v>
      </c>
      <c r="D27" s="55">
        <v>9</v>
      </c>
      <c r="E27" s="55">
        <v>12</v>
      </c>
      <c r="F27" s="52">
        <v>15</v>
      </c>
    </row>
    <row r="28" spans="1:9" x14ac:dyDescent="0.3">
      <c r="A28" s="64" t="s">
        <v>170</v>
      </c>
      <c r="B28" s="60">
        <v>2</v>
      </c>
      <c r="C28" s="58">
        <v>4</v>
      </c>
      <c r="D28" s="58">
        <v>6</v>
      </c>
      <c r="E28" s="58">
        <v>8</v>
      </c>
      <c r="F28" s="55">
        <v>10</v>
      </c>
    </row>
    <row r="29" spans="1:9" x14ac:dyDescent="0.3">
      <c r="A29" s="64" t="s">
        <v>171</v>
      </c>
      <c r="B29" s="60">
        <v>1</v>
      </c>
      <c r="C29" s="60">
        <v>2</v>
      </c>
      <c r="D29" s="60">
        <v>3</v>
      </c>
      <c r="E29" s="58">
        <v>4</v>
      </c>
      <c r="F29" s="58">
        <v>5</v>
      </c>
    </row>
  </sheetData>
  <mergeCells count="4">
    <mergeCell ref="A1:I1"/>
    <mergeCell ref="A2:I2"/>
    <mergeCell ref="A4:I4"/>
    <mergeCell ref="A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showGridLines="0" zoomScaleNormal="100" workbookViewId="0">
      <selection activeCell="H21" sqref="H21"/>
    </sheetView>
  </sheetViews>
  <sheetFormatPr defaultColWidth="8.6640625" defaultRowHeight="14.4" x14ac:dyDescent="0.3"/>
  <cols>
    <col min="1" max="1" width="35.5546875" customWidth="1"/>
    <col min="2" max="2" width="18.6640625" customWidth="1"/>
    <col min="3" max="4" width="18.21875" customWidth="1"/>
    <col min="5" max="5" width="18.77734375" customWidth="1"/>
    <col min="6" max="6" width="19.5546875" customWidth="1"/>
    <col min="7" max="7" width="17" customWidth="1"/>
    <col min="8" max="8" width="39.33203125" customWidth="1"/>
    <col min="9" max="9" width="0.109375" customWidth="1"/>
    <col min="10" max="10" width="8.6640625" hidden="1" customWidth="1"/>
  </cols>
  <sheetData>
    <row r="1" spans="1:10" ht="30" customHeight="1" x14ac:dyDescent="0.3">
      <c r="A1" s="3" t="s">
        <v>301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3">
      <c r="A2" s="2" t="s">
        <v>172</v>
      </c>
      <c r="B2" s="2"/>
      <c r="C2" s="2"/>
      <c r="D2" s="2"/>
      <c r="E2" s="2"/>
      <c r="F2" s="2"/>
      <c r="G2" s="2"/>
      <c r="H2" s="2"/>
      <c r="I2" s="2"/>
      <c r="J2" s="2"/>
    </row>
    <row r="4" spans="1:10" ht="18" customHeight="1" x14ac:dyDescent="0.3">
      <c r="A4" s="1" t="s">
        <v>302</v>
      </c>
      <c r="B4" s="1"/>
      <c r="C4" s="1"/>
      <c r="D4" s="1"/>
      <c r="E4" s="1"/>
      <c r="F4" s="1"/>
      <c r="G4" s="1"/>
      <c r="H4" s="1"/>
      <c r="I4" s="1"/>
      <c r="J4" s="1"/>
    </row>
    <row r="5" spans="1:10" ht="27.75" customHeight="1" x14ac:dyDescent="0.3">
      <c r="A5" s="4" t="s">
        <v>173</v>
      </c>
      <c r="B5" s="4" t="s">
        <v>174</v>
      </c>
      <c r="C5" s="4" t="s">
        <v>175</v>
      </c>
      <c r="D5" s="4" t="s">
        <v>35</v>
      </c>
      <c r="E5" s="4" t="s">
        <v>176</v>
      </c>
      <c r="F5" s="4" t="s">
        <v>177</v>
      </c>
      <c r="G5" s="4" t="s">
        <v>178</v>
      </c>
      <c r="H5" s="4" t="s">
        <v>179</v>
      </c>
    </row>
    <row r="6" spans="1:10" ht="15" customHeight="1" x14ac:dyDescent="0.3">
      <c r="A6" s="5" t="s">
        <v>180</v>
      </c>
      <c r="B6" s="75">
        <v>5000</v>
      </c>
      <c r="C6" s="75">
        <v>8000</v>
      </c>
      <c r="D6" s="75">
        <v>4000</v>
      </c>
      <c r="E6" s="75">
        <v>6000</v>
      </c>
      <c r="F6" s="75">
        <f t="shared" ref="F6:F13" si="0">B6+C6+D6+E6</f>
        <v>23000</v>
      </c>
      <c r="G6" s="65">
        <f t="shared" ref="G6:G13" si="1">F6/F$14</f>
        <v>9.0213413557899358E-2</v>
      </c>
      <c r="H6" s="7" t="s">
        <v>181</v>
      </c>
    </row>
    <row r="7" spans="1:10" ht="15" customHeight="1" x14ac:dyDescent="0.3">
      <c r="A7" s="23" t="s">
        <v>182</v>
      </c>
      <c r="B7" s="76">
        <v>45000</v>
      </c>
      <c r="C7" s="76">
        <v>70000</v>
      </c>
      <c r="D7" s="76">
        <v>35000</v>
      </c>
      <c r="E7" s="76">
        <v>54000</v>
      </c>
      <c r="F7" s="76">
        <f t="shared" si="0"/>
        <v>204000</v>
      </c>
      <c r="G7" s="66">
        <f t="shared" si="1"/>
        <v>0.8001537550352813</v>
      </c>
      <c r="H7" s="12" t="s">
        <v>183</v>
      </c>
    </row>
    <row r="8" spans="1:10" ht="15" customHeight="1" x14ac:dyDescent="0.3">
      <c r="A8" s="19" t="s">
        <v>184</v>
      </c>
      <c r="B8" s="75">
        <v>800</v>
      </c>
      <c r="C8" s="75">
        <v>1200</v>
      </c>
      <c r="D8" s="75">
        <v>600</v>
      </c>
      <c r="E8" s="75">
        <v>900</v>
      </c>
      <c r="F8" s="75">
        <f t="shared" si="0"/>
        <v>3500</v>
      </c>
      <c r="G8" s="65">
        <f t="shared" si="1"/>
        <v>1.3728128150115121E-2</v>
      </c>
      <c r="H8" s="7" t="s">
        <v>185</v>
      </c>
    </row>
    <row r="9" spans="1:10" ht="16.8" customHeight="1" x14ac:dyDescent="0.3">
      <c r="A9" s="23" t="s">
        <v>186</v>
      </c>
      <c r="B9" s="76">
        <v>1500</v>
      </c>
      <c r="C9" s="76">
        <v>1500</v>
      </c>
      <c r="D9" s="76">
        <v>1500</v>
      </c>
      <c r="E9" s="76">
        <v>1500</v>
      </c>
      <c r="F9" s="76">
        <f t="shared" si="0"/>
        <v>6000</v>
      </c>
      <c r="G9" s="66">
        <f t="shared" si="1"/>
        <v>2.3533933971625919E-2</v>
      </c>
      <c r="H9" s="12" t="s">
        <v>187</v>
      </c>
    </row>
    <row r="10" spans="1:10" ht="16.2" customHeight="1" x14ac:dyDescent="0.3">
      <c r="A10" s="19" t="s">
        <v>188</v>
      </c>
      <c r="B10" s="75">
        <v>2000</v>
      </c>
      <c r="C10" s="75">
        <v>2500</v>
      </c>
      <c r="D10" s="75">
        <v>1500</v>
      </c>
      <c r="E10" s="75">
        <v>2000</v>
      </c>
      <c r="F10" s="75">
        <f t="shared" si="0"/>
        <v>8000</v>
      </c>
      <c r="G10" s="65">
        <f t="shared" si="1"/>
        <v>3.1378578628834558E-2</v>
      </c>
      <c r="H10" s="7" t="s">
        <v>189</v>
      </c>
    </row>
    <row r="11" spans="1:10" ht="15" customHeight="1" x14ac:dyDescent="0.3">
      <c r="A11" s="23" t="s">
        <v>190</v>
      </c>
      <c r="B11" s="76">
        <v>500</v>
      </c>
      <c r="C11" s="76">
        <v>500</v>
      </c>
      <c r="D11" s="76">
        <v>500</v>
      </c>
      <c r="E11" s="76">
        <v>500</v>
      </c>
      <c r="F11" s="76">
        <f t="shared" si="0"/>
        <v>2000</v>
      </c>
      <c r="G11" s="66">
        <f t="shared" si="1"/>
        <v>7.8446446572086395E-3</v>
      </c>
      <c r="H11" s="12" t="s">
        <v>191</v>
      </c>
    </row>
    <row r="12" spans="1:10" ht="15" customHeight="1" x14ac:dyDescent="0.3">
      <c r="A12" s="19" t="s">
        <v>192</v>
      </c>
      <c r="B12" s="75">
        <v>300</v>
      </c>
      <c r="C12" s="75">
        <v>300</v>
      </c>
      <c r="D12" s="75">
        <v>300</v>
      </c>
      <c r="E12" s="75">
        <v>300</v>
      </c>
      <c r="F12" s="75">
        <f t="shared" si="0"/>
        <v>1200</v>
      </c>
      <c r="G12" s="65">
        <f t="shared" si="1"/>
        <v>4.7067867943251839E-3</v>
      </c>
      <c r="H12" s="7" t="s">
        <v>193</v>
      </c>
    </row>
    <row r="13" spans="1:10" ht="15" customHeight="1" x14ac:dyDescent="0.3">
      <c r="A13" s="23" t="s">
        <v>194</v>
      </c>
      <c r="B13" s="76">
        <v>1575</v>
      </c>
      <c r="C13" s="76">
        <v>2520</v>
      </c>
      <c r="D13" s="76">
        <v>1260</v>
      </c>
      <c r="E13" s="76">
        <v>1896</v>
      </c>
      <c r="F13" s="76">
        <f t="shared" si="0"/>
        <v>7251</v>
      </c>
      <c r="G13" s="66">
        <f t="shared" si="1"/>
        <v>2.8440759204709926E-2</v>
      </c>
      <c r="H13" s="12" t="s">
        <v>195</v>
      </c>
    </row>
    <row r="14" spans="1:10" ht="15" customHeight="1" x14ac:dyDescent="0.3">
      <c r="A14" s="48" t="s">
        <v>196</v>
      </c>
      <c r="B14" s="77">
        <f>SUM(B6:B13)</f>
        <v>56675</v>
      </c>
      <c r="C14" s="77">
        <f>SUM(C6:C13)</f>
        <v>86520</v>
      </c>
      <c r="D14" s="77">
        <f>SUM(D6:D13)</f>
        <v>44660</v>
      </c>
      <c r="E14" s="77">
        <f>SUM(E6:E13)</f>
        <v>67096</v>
      </c>
      <c r="F14" s="77">
        <f>SUM(F6:F13)</f>
        <v>254951</v>
      </c>
      <c r="G14" s="15" t="s">
        <v>197</v>
      </c>
      <c r="H14" s="48"/>
    </row>
    <row r="16" spans="1:10" ht="18" customHeight="1" x14ac:dyDescent="0.3">
      <c r="A16" s="1" t="s">
        <v>198</v>
      </c>
      <c r="B16" s="1"/>
      <c r="C16" s="1"/>
      <c r="D16" s="1"/>
      <c r="E16" s="1"/>
      <c r="F16" s="1"/>
      <c r="G16" s="1"/>
      <c r="H16" s="1"/>
      <c r="I16" s="1"/>
      <c r="J16" s="1"/>
    </row>
    <row r="17" spans="1:7" ht="27.75" customHeight="1" x14ac:dyDescent="0.3">
      <c r="A17" s="4" t="s">
        <v>199</v>
      </c>
      <c r="B17" s="4" t="s">
        <v>200</v>
      </c>
      <c r="C17" s="4" t="s">
        <v>201</v>
      </c>
      <c r="D17" s="4" t="s">
        <v>202</v>
      </c>
      <c r="E17" s="4" t="s">
        <v>203</v>
      </c>
      <c r="F17" s="4" t="s">
        <v>204</v>
      </c>
      <c r="G17" s="4" t="s">
        <v>205</v>
      </c>
    </row>
    <row r="18" spans="1:7" ht="15" customHeight="1" x14ac:dyDescent="0.3">
      <c r="A18" s="33" t="s">
        <v>206</v>
      </c>
      <c r="B18" s="78">
        <v>55000</v>
      </c>
      <c r="C18" s="78">
        <v>56675</v>
      </c>
      <c r="D18" s="79">
        <f>B18-C18</f>
        <v>-1675</v>
      </c>
      <c r="E18" s="67">
        <f>D18/B18</f>
        <v>-3.0454545454545453E-2</v>
      </c>
      <c r="F18" s="34">
        <v>2</v>
      </c>
      <c r="G18" s="78">
        <f>B18*10</f>
        <v>550000</v>
      </c>
    </row>
    <row r="19" spans="1:7" ht="15" customHeight="1" x14ac:dyDescent="0.3">
      <c r="A19" s="10" t="s">
        <v>33</v>
      </c>
      <c r="B19" s="76">
        <v>90000</v>
      </c>
      <c r="C19" s="76">
        <v>82520</v>
      </c>
      <c r="D19" s="80">
        <f>B19-C19</f>
        <v>7480</v>
      </c>
      <c r="E19" s="68">
        <f>D19/B19</f>
        <v>8.3111111111111108E-2</v>
      </c>
      <c r="F19" s="13">
        <v>3</v>
      </c>
      <c r="G19" s="76">
        <f>B19*10</f>
        <v>900000</v>
      </c>
    </row>
    <row r="20" spans="1:7" ht="15" customHeight="1" x14ac:dyDescent="0.3">
      <c r="A20" s="33" t="s">
        <v>35</v>
      </c>
      <c r="B20" s="78">
        <v>45000</v>
      </c>
      <c r="C20" s="78">
        <v>39160</v>
      </c>
      <c r="D20" s="79">
        <f>B20-C20</f>
        <v>5840</v>
      </c>
      <c r="E20" s="67">
        <f>D20/B20</f>
        <v>0.12977777777777777</v>
      </c>
      <c r="F20" s="34">
        <v>2</v>
      </c>
      <c r="G20" s="78">
        <f>B20*10</f>
        <v>450000</v>
      </c>
    </row>
    <row r="21" spans="1:7" ht="15" customHeight="1" x14ac:dyDescent="0.3">
      <c r="A21" s="10" t="s">
        <v>207</v>
      </c>
      <c r="B21" s="76">
        <v>70000</v>
      </c>
      <c r="C21" s="76">
        <v>67096</v>
      </c>
      <c r="D21" s="80">
        <f>B21-C21</f>
        <v>2904</v>
      </c>
      <c r="E21" s="68">
        <f>D21/B21</f>
        <v>4.1485714285714285E-2</v>
      </c>
      <c r="F21" s="13">
        <v>4</v>
      </c>
      <c r="G21" s="76">
        <f>B21*10</f>
        <v>700000</v>
      </c>
    </row>
    <row r="22" spans="1:7" ht="15" customHeight="1" x14ac:dyDescent="0.3">
      <c r="A22" s="33" t="s">
        <v>208</v>
      </c>
      <c r="B22" s="78">
        <v>250000</v>
      </c>
      <c r="C22" s="78">
        <v>245451</v>
      </c>
      <c r="D22" s="79">
        <f>B22-C22</f>
        <v>4549</v>
      </c>
      <c r="E22" s="67">
        <f>D22/B22</f>
        <v>1.8196E-2</v>
      </c>
      <c r="F22" s="34">
        <v>1</v>
      </c>
      <c r="G22" s="78">
        <f>B22*10</f>
        <v>2500000</v>
      </c>
    </row>
  </sheetData>
  <mergeCells count="4">
    <mergeCell ref="A1:J1"/>
    <mergeCell ref="A2:J2"/>
    <mergeCell ref="A4:J4"/>
    <mergeCell ref="A16:J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showGridLines="0" zoomScaleNormal="100" workbookViewId="0">
      <selection activeCell="E19" sqref="E19"/>
    </sheetView>
  </sheetViews>
  <sheetFormatPr defaultColWidth="8.6640625" defaultRowHeight="14.4" x14ac:dyDescent="0.3"/>
  <cols>
    <col min="1" max="1" width="18.109375" customWidth="1"/>
    <col min="2" max="2" width="21.88671875" customWidth="1"/>
    <col min="3" max="3" width="19.21875" customWidth="1"/>
    <col min="4" max="4" width="21.6640625" customWidth="1"/>
    <col min="5" max="5" width="13" customWidth="1"/>
    <col min="6" max="7" width="15" customWidth="1"/>
    <col min="8" max="8" width="16" customWidth="1"/>
    <col min="9" max="9" width="15" customWidth="1"/>
    <col min="10" max="10" width="13.44140625" customWidth="1"/>
    <col min="11" max="11" width="13" customWidth="1"/>
    <col min="12" max="12" width="22.88671875" customWidth="1"/>
  </cols>
  <sheetData>
    <row r="1" spans="1:12" ht="30" customHeight="1" x14ac:dyDescent="0.3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3">
      <c r="A2" s="2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18" customHeight="1" x14ac:dyDescent="0.3">
      <c r="A4" s="1" t="s">
        <v>304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45" customHeight="1" x14ac:dyDescent="0.3">
      <c r="A5" s="4" t="s">
        <v>210</v>
      </c>
      <c r="B5" s="4" t="s">
        <v>211</v>
      </c>
      <c r="C5" s="4" t="s">
        <v>212</v>
      </c>
      <c r="D5" s="4" t="s">
        <v>213</v>
      </c>
      <c r="E5" s="4" t="s">
        <v>214</v>
      </c>
      <c r="F5" s="4" t="s">
        <v>215</v>
      </c>
      <c r="G5" s="4" t="s">
        <v>216</v>
      </c>
      <c r="H5" s="4" t="s">
        <v>217</v>
      </c>
      <c r="I5" s="4" t="s">
        <v>218</v>
      </c>
      <c r="J5" s="4" t="s">
        <v>219</v>
      </c>
      <c r="K5" s="4" t="s">
        <v>220</v>
      </c>
      <c r="L5" s="4" t="s">
        <v>179</v>
      </c>
    </row>
    <row r="6" spans="1:12" ht="30" customHeight="1" x14ac:dyDescent="0.3">
      <c r="A6" s="56" t="s">
        <v>221</v>
      </c>
      <c r="B6" s="69" t="s">
        <v>222</v>
      </c>
      <c r="C6" s="69" t="s">
        <v>223</v>
      </c>
      <c r="D6" s="57" t="s">
        <v>224</v>
      </c>
      <c r="E6" s="34" t="s">
        <v>225</v>
      </c>
      <c r="F6" s="78">
        <v>50000</v>
      </c>
      <c r="G6" s="78">
        <v>200000</v>
      </c>
      <c r="H6" s="34" t="s">
        <v>226</v>
      </c>
      <c r="I6" s="34" t="s">
        <v>227</v>
      </c>
      <c r="J6" s="34">
        <v>4.8</v>
      </c>
      <c r="K6" s="36">
        <f>IF(J6&gt;0,J6/5,"N/A")</f>
        <v>0.96</v>
      </c>
      <c r="L6" s="57" t="s">
        <v>228</v>
      </c>
    </row>
    <row r="7" spans="1:12" ht="30" customHeight="1" x14ac:dyDescent="0.3">
      <c r="A7" s="56" t="s">
        <v>229</v>
      </c>
      <c r="B7" s="69" t="s">
        <v>230</v>
      </c>
      <c r="C7" s="69" t="s">
        <v>35</v>
      </c>
      <c r="D7" s="57" t="s">
        <v>34</v>
      </c>
      <c r="E7" s="34" t="s">
        <v>231</v>
      </c>
      <c r="F7" s="78">
        <v>9000</v>
      </c>
      <c r="G7" s="78">
        <v>36000</v>
      </c>
      <c r="H7" s="34" t="s">
        <v>226</v>
      </c>
      <c r="I7" s="34" t="s">
        <v>227</v>
      </c>
      <c r="J7" s="34">
        <v>4.5999999999999996</v>
      </c>
      <c r="K7" s="36">
        <f>IF(J7&gt;0,J7/5,"N/A")</f>
        <v>0.91999999999999993</v>
      </c>
      <c r="L7" s="57"/>
    </row>
    <row r="8" spans="1:12" ht="30" customHeight="1" x14ac:dyDescent="0.3">
      <c r="A8" s="56" t="s">
        <v>232</v>
      </c>
      <c r="B8" s="69" t="s">
        <v>233</v>
      </c>
      <c r="C8" s="69" t="s">
        <v>37</v>
      </c>
      <c r="D8" s="57" t="s">
        <v>36</v>
      </c>
      <c r="E8" s="34" t="s">
        <v>234</v>
      </c>
      <c r="F8" s="78">
        <v>11000</v>
      </c>
      <c r="G8" s="78">
        <v>44000</v>
      </c>
      <c r="H8" s="34" t="s">
        <v>226</v>
      </c>
      <c r="I8" s="34" t="s">
        <v>227</v>
      </c>
      <c r="J8" s="34">
        <v>4.2</v>
      </c>
      <c r="K8" s="36">
        <f>IF(J8&gt;0,J8/5,"N/A")</f>
        <v>0.84000000000000008</v>
      </c>
      <c r="L8" s="57" t="s">
        <v>235</v>
      </c>
    </row>
    <row r="9" spans="1:12" ht="30" customHeight="1" x14ac:dyDescent="0.3">
      <c r="A9" s="56" t="s">
        <v>236</v>
      </c>
      <c r="B9" s="69" t="s">
        <v>237</v>
      </c>
      <c r="C9" s="69" t="s">
        <v>39</v>
      </c>
      <c r="D9" s="57" t="s">
        <v>38</v>
      </c>
      <c r="E9" s="34" t="s">
        <v>238</v>
      </c>
      <c r="F9" s="78">
        <v>14000</v>
      </c>
      <c r="G9" s="78">
        <v>56000</v>
      </c>
      <c r="H9" s="34" t="s">
        <v>226</v>
      </c>
      <c r="I9" s="34" t="s">
        <v>227</v>
      </c>
      <c r="J9" s="34">
        <v>4.9000000000000004</v>
      </c>
      <c r="K9" s="36">
        <f>IF(J9&gt;0,J9/5,"N/A")</f>
        <v>0.98000000000000009</v>
      </c>
      <c r="L9" s="57" t="s">
        <v>239</v>
      </c>
    </row>
    <row r="10" spans="1:12" ht="30" customHeight="1" x14ac:dyDescent="0.3">
      <c r="A10" s="53" t="s">
        <v>240</v>
      </c>
      <c r="B10" s="70" t="s">
        <v>241</v>
      </c>
      <c r="C10" s="70" t="s">
        <v>223</v>
      </c>
      <c r="D10" s="54" t="s">
        <v>242</v>
      </c>
      <c r="E10" s="28" t="s">
        <v>243</v>
      </c>
      <c r="F10" s="81">
        <v>52000</v>
      </c>
      <c r="G10" s="81">
        <v>208000</v>
      </c>
      <c r="H10" s="28" t="s">
        <v>244</v>
      </c>
      <c r="I10" s="28" t="s">
        <v>245</v>
      </c>
      <c r="J10" s="28" t="s">
        <v>65</v>
      </c>
      <c r="K10" s="30" t="s">
        <v>246</v>
      </c>
      <c r="L10" s="54"/>
    </row>
    <row r="11" spans="1:12" ht="30" customHeight="1" x14ac:dyDescent="0.3">
      <c r="A11" s="53" t="s">
        <v>247</v>
      </c>
      <c r="B11" s="70" t="s">
        <v>248</v>
      </c>
      <c r="C11" s="70" t="s">
        <v>249</v>
      </c>
      <c r="D11" s="54" t="s">
        <v>40</v>
      </c>
      <c r="E11" s="28" t="s">
        <v>250</v>
      </c>
      <c r="F11" s="81">
        <v>18000</v>
      </c>
      <c r="G11" s="81">
        <v>72000</v>
      </c>
      <c r="H11" s="28" t="s">
        <v>244</v>
      </c>
      <c r="I11" s="28" t="s">
        <v>245</v>
      </c>
      <c r="J11" s="28" t="s">
        <v>65</v>
      </c>
      <c r="K11" s="30" t="s">
        <v>246</v>
      </c>
      <c r="L11" s="54" t="s">
        <v>251</v>
      </c>
    </row>
    <row r="12" spans="1:12" ht="30" customHeight="1" x14ac:dyDescent="0.3">
      <c r="A12" s="59" t="s">
        <v>252</v>
      </c>
      <c r="B12" s="19" t="s">
        <v>253</v>
      </c>
      <c r="C12" s="19" t="s">
        <v>35</v>
      </c>
      <c r="D12" s="7" t="s">
        <v>41</v>
      </c>
      <c r="E12" s="8" t="s">
        <v>254</v>
      </c>
      <c r="F12" s="75">
        <v>9500</v>
      </c>
      <c r="G12" s="75">
        <v>38000</v>
      </c>
      <c r="H12" s="8" t="s">
        <v>255</v>
      </c>
      <c r="I12" s="8" t="s">
        <v>245</v>
      </c>
      <c r="J12" s="8" t="s">
        <v>65</v>
      </c>
      <c r="K12" s="6" t="s">
        <v>246</v>
      </c>
      <c r="L12" s="7" t="s">
        <v>256</v>
      </c>
    </row>
    <row r="13" spans="1:12" ht="30" customHeight="1" x14ac:dyDescent="0.3">
      <c r="A13" s="59" t="s">
        <v>257</v>
      </c>
      <c r="B13" s="19" t="s">
        <v>258</v>
      </c>
      <c r="C13" s="19" t="s">
        <v>223</v>
      </c>
      <c r="D13" s="7" t="s">
        <v>259</v>
      </c>
      <c r="E13" s="8" t="s">
        <v>260</v>
      </c>
      <c r="F13" s="75">
        <v>55000</v>
      </c>
      <c r="G13" s="75">
        <v>220000</v>
      </c>
      <c r="H13" s="8" t="s">
        <v>255</v>
      </c>
      <c r="I13" s="8" t="s">
        <v>245</v>
      </c>
      <c r="J13" s="8" t="s">
        <v>65</v>
      </c>
      <c r="K13" s="6" t="s">
        <v>246</v>
      </c>
      <c r="L13" s="7" t="s">
        <v>261</v>
      </c>
    </row>
    <row r="14" spans="1:12" ht="30" customHeight="1" x14ac:dyDescent="0.3">
      <c r="A14" s="59" t="s">
        <v>262</v>
      </c>
      <c r="B14" s="19" t="s">
        <v>263</v>
      </c>
      <c r="C14" s="19" t="s">
        <v>37</v>
      </c>
      <c r="D14" s="7" t="s">
        <v>42</v>
      </c>
      <c r="E14" s="8" t="s">
        <v>264</v>
      </c>
      <c r="F14" s="75">
        <v>12000</v>
      </c>
      <c r="G14" s="75">
        <v>48000</v>
      </c>
      <c r="H14" s="8" t="s">
        <v>255</v>
      </c>
      <c r="I14" s="8" t="s">
        <v>245</v>
      </c>
      <c r="J14" s="8" t="s">
        <v>65</v>
      </c>
      <c r="K14" s="6" t="s">
        <v>246</v>
      </c>
      <c r="L14" s="7"/>
    </row>
    <row r="15" spans="1:12" ht="30" customHeight="1" x14ac:dyDescent="0.3">
      <c r="A15" s="59" t="s">
        <v>265</v>
      </c>
      <c r="B15" s="19" t="s">
        <v>266</v>
      </c>
      <c r="C15" s="19" t="s">
        <v>223</v>
      </c>
      <c r="D15" s="7" t="s">
        <v>267</v>
      </c>
      <c r="E15" s="8" t="s">
        <v>268</v>
      </c>
      <c r="F15" s="75">
        <v>60000</v>
      </c>
      <c r="G15" s="75">
        <v>240000</v>
      </c>
      <c r="H15" s="8" t="s">
        <v>255</v>
      </c>
      <c r="I15" s="8" t="s">
        <v>245</v>
      </c>
      <c r="J15" s="8" t="s">
        <v>65</v>
      </c>
      <c r="K15" s="6" t="s">
        <v>246</v>
      </c>
      <c r="L15" s="7" t="s">
        <v>269</v>
      </c>
    </row>
    <row r="17" spans="1:12" ht="24.6" customHeight="1" x14ac:dyDescent="0.3">
      <c r="A17" s="48" t="s">
        <v>270</v>
      </c>
      <c r="B17" s="15" t="s">
        <v>271</v>
      </c>
      <c r="C17" s="82" t="s">
        <v>272</v>
      </c>
      <c r="D17" s="55" t="s">
        <v>273</v>
      </c>
      <c r="E17" s="83" t="s">
        <v>274</v>
      </c>
      <c r="F17" s="77">
        <f>SUM(F6:F15)</f>
        <v>290500</v>
      </c>
      <c r="G17" s="77">
        <f>SUM(G6:G15)</f>
        <v>1162000</v>
      </c>
      <c r="H17" s="71"/>
      <c r="I17" s="71"/>
      <c r="J17" s="82" t="s">
        <v>275</v>
      </c>
    </row>
    <row r="19" spans="1:12" ht="18" customHeight="1" x14ac:dyDescent="0.3"/>
    <row r="20" spans="1:12" ht="27.75" customHeight="1" x14ac:dyDescent="0.3"/>
    <row r="21" spans="1:12" ht="27.75" customHeight="1" x14ac:dyDescent="0.3">
      <c r="A21" s="1" t="s">
        <v>305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37.200000000000003" customHeight="1" x14ac:dyDescent="0.3">
      <c r="A22" s="4" t="s">
        <v>276</v>
      </c>
      <c r="B22" s="4" t="s">
        <v>22</v>
      </c>
      <c r="C22" s="4" t="s">
        <v>277</v>
      </c>
      <c r="D22" s="4" t="s">
        <v>278</v>
      </c>
      <c r="E22" s="4" t="s">
        <v>279</v>
      </c>
      <c r="F22" s="4" t="s">
        <v>280</v>
      </c>
      <c r="G22" s="4" t="s">
        <v>281</v>
      </c>
      <c r="H22" s="4" t="s">
        <v>282</v>
      </c>
      <c r="I22" s="4" t="s">
        <v>283</v>
      </c>
      <c r="J22" s="4" t="s">
        <v>284</v>
      </c>
    </row>
    <row r="23" spans="1:12" ht="27.75" customHeight="1" x14ac:dyDescent="0.3">
      <c r="A23" s="33" t="s">
        <v>32</v>
      </c>
      <c r="B23" s="69" t="s">
        <v>33</v>
      </c>
      <c r="C23" s="58" t="s">
        <v>285</v>
      </c>
      <c r="D23" s="34">
        <v>3</v>
      </c>
      <c r="E23" s="40">
        <v>4.8</v>
      </c>
      <c r="F23" s="34" t="s">
        <v>286</v>
      </c>
      <c r="G23" s="34" t="s">
        <v>287</v>
      </c>
      <c r="H23" s="34" t="s">
        <v>287</v>
      </c>
      <c r="I23" s="34" t="s">
        <v>285</v>
      </c>
      <c r="J23" s="57" t="s">
        <v>288</v>
      </c>
    </row>
    <row r="24" spans="1:12" ht="27.75" customHeight="1" x14ac:dyDescent="0.3">
      <c r="A24" s="33" t="s">
        <v>34</v>
      </c>
      <c r="B24" s="69" t="s">
        <v>35</v>
      </c>
      <c r="C24" s="58" t="s">
        <v>285</v>
      </c>
      <c r="D24" s="34">
        <v>2</v>
      </c>
      <c r="E24" s="40">
        <v>4.7</v>
      </c>
      <c r="F24" s="34" t="s">
        <v>289</v>
      </c>
      <c r="G24" s="34" t="s">
        <v>287</v>
      </c>
      <c r="H24" s="34" t="s">
        <v>287</v>
      </c>
      <c r="I24" s="34" t="s">
        <v>285</v>
      </c>
      <c r="J24" s="57" t="s">
        <v>288</v>
      </c>
    </row>
    <row r="25" spans="1:12" ht="27.75" customHeight="1" x14ac:dyDescent="0.3">
      <c r="A25" s="33" t="s">
        <v>36</v>
      </c>
      <c r="B25" s="69" t="s">
        <v>37</v>
      </c>
      <c r="C25" s="58" t="s">
        <v>285</v>
      </c>
      <c r="D25" s="34">
        <v>1</v>
      </c>
      <c r="E25" s="40">
        <v>4.2</v>
      </c>
      <c r="F25" s="34" t="s">
        <v>290</v>
      </c>
      <c r="G25" s="34" t="s">
        <v>287</v>
      </c>
      <c r="H25" s="34" t="s">
        <v>287</v>
      </c>
      <c r="I25" s="34" t="s">
        <v>285</v>
      </c>
      <c r="J25" s="57" t="s">
        <v>291</v>
      </c>
    </row>
    <row r="26" spans="1:12" x14ac:dyDescent="0.3">
      <c r="A26" s="33" t="s">
        <v>38</v>
      </c>
      <c r="B26" s="69" t="s">
        <v>39</v>
      </c>
      <c r="C26" s="58" t="s">
        <v>285</v>
      </c>
      <c r="D26" s="34">
        <v>2</v>
      </c>
      <c r="E26" s="40">
        <v>4.9000000000000004</v>
      </c>
      <c r="F26" s="34" t="s">
        <v>292</v>
      </c>
      <c r="G26" s="34" t="s">
        <v>287</v>
      </c>
      <c r="H26" s="34" t="s">
        <v>287</v>
      </c>
      <c r="I26" s="34" t="s">
        <v>285</v>
      </c>
      <c r="J26" s="57" t="s">
        <v>288</v>
      </c>
    </row>
    <row r="27" spans="1:12" ht="55.2" x14ac:dyDescent="0.3">
      <c r="A27" s="27" t="s">
        <v>40</v>
      </c>
      <c r="B27" s="70" t="s">
        <v>33</v>
      </c>
      <c r="C27" s="55" t="s">
        <v>293</v>
      </c>
      <c r="D27" s="28">
        <v>1</v>
      </c>
      <c r="E27" s="39">
        <v>3.8</v>
      </c>
      <c r="F27" s="28" t="s">
        <v>294</v>
      </c>
      <c r="G27" s="28" t="s">
        <v>287</v>
      </c>
      <c r="H27" s="28" t="s">
        <v>295</v>
      </c>
      <c r="I27" s="28" t="s">
        <v>296</v>
      </c>
      <c r="J27" s="54" t="s">
        <v>297</v>
      </c>
    </row>
  </sheetData>
  <mergeCells count="4">
    <mergeCell ref="A1:L1"/>
    <mergeCell ref="A2:L2"/>
    <mergeCell ref="A4:L4"/>
    <mergeCell ref="A21:L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3_Vendor_Evaluation</vt:lpstr>
      <vt:lpstr>5_Demand_Forecasting</vt:lpstr>
      <vt:lpstr>7_Risk_Assessment</vt:lpstr>
      <vt:lpstr>15_Cost_to_Serve</vt:lpstr>
      <vt:lpstr>28_20_Fulfillment_Portal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Musaddek Fahim</cp:lastModifiedBy>
  <cp:revision>2</cp:revision>
  <dcterms:created xsi:type="dcterms:W3CDTF">2026-05-01T20:48:04Z</dcterms:created>
  <dcterms:modified xsi:type="dcterms:W3CDTF">2026-05-25T10:55:18Z</dcterms:modified>
  <dc:language>en-US</dc:language>
</cp:coreProperties>
</file>